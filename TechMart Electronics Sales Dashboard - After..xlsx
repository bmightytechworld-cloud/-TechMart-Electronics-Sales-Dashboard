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65D56D-D5F8-40F0-82F2-2C97120D4C27}" xr6:coauthVersionLast="47" xr6:coauthVersionMax="47" xr10:uidLastSave="{00000000-0000-0000-0000-000000000000}"/>
  <bookViews>
    <workbookView xWindow="-120" yWindow="-120" windowWidth="20730" windowHeight="11160" firstSheet="5" activeTab="7" xr2:uid="{8FBF60E5-B945-465C-8C32-90133B3F4850}"/>
  </bookViews>
  <sheets>
    <sheet name="Sales Transaction" sheetId="1" r:id="rId1"/>
    <sheet name="Product Database" sheetId="2" r:id="rId2"/>
    <sheet name="Customer Database (2)" sheetId="4" state="hidden" r:id="rId3"/>
    <sheet name="Customer Database" sheetId="3" r:id="rId4"/>
    <sheet name="Master Sales Table" sheetId="5" r:id="rId5"/>
    <sheet name="Pivot View" sheetId="6" r:id="rId6"/>
    <sheet name="TechMartInput" sheetId="7" r:id="rId7"/>
    <sheet name="Summary Dashboard" sheetId="8" r:id="rId8"/>
  </sheets>
  <definedNames>
    <definedName name="ExternalData_1" localSheetId="4" hidden="1">'Master Sales Table'!$A$1:$J$37</definedName>
    <definedName name="ExternalData_2" localSheetId="5" hidden="1">'Pivot View'!$A$1:$G$5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8" l="1"/>
  <c r="B6" i="8"/>
  <c r="B5" i="8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55AFE1-5DD1-45F8-9CB6-4009596D11D6}" keepAlive="1" name="Query - Customer Database(1)" description="Connection to the 'Customer Database' query in the workbook." type="5" refreshedVersion="0" background="1">
    <dbPr connection="Provider=Microsoft.Mashup.OleDb.1;Data Source=$Workbook$;Location=&quot;Customer Database&quot;;Extended Properties=&quot;&quot;" command="SELECT * FROM [Customer Database]"/>
  </connection>
  <connection id="2" xr16:uid="{137244F2-C29C-4697-910D-6396FD432973}" keepAlive="1" name="Query - Master Sales Table" description="Connection to the 'Master Sales Table' query in the workbook." type="5" refreshedVersion="8" background="1" saveData="1">
    <dbPr connection="Provider=Microsoft.Mashup.OleDb.1;Data Source=$Workbook$;Location=&quot;Master Sales Table&quot;;Extended Properties=&quot;&quot;" command="SELECT * FROM [Master Sales Table]"/>
  </connection>
  <connection id="3" xr16:uid="{2B1646DC-18FA-4B3F-A6E7-2B620D355534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4" xr16:uid="{FD092935-ABAF-436B-9327-C30CF89BFC67}" keepAlive="1" name="Query - Pivot View" description="Connection to the 'Pivot View' query in the workbook." type="5" refreshedVersion="8" background="1" saveData="1">
    <dbPr connection="Provider=Microsoft.Mashup.OleDb.1;Data Source=$Workbook$;Location=&quot;Pivot View&quot;;Extended Properties=&quot;&quot;" command="SELECT * FROM [Pivot View]"/>
  </connection>
  <connection id="5" xr16:uid="{D703D6D3-114C-458A-A3CC-93C526FF173D}" keepAlive="1" name="Query - Product Database" description="Connection to the 'Product Database' query in the workbook." type="5" refreshedVersion="0" background="1">
    <dbPr connection="Provider=Microsoft.Mashup.OleDb.1;Data Source=$Workbook$;Location=&quot;Product Database&quot;;Extended Properties=&quot;&quot;" command="SELECT * FROM [Product Database]"/>
  </connection>
  <connection id="6" xr16:uid="{DB566058-D0A8-4BBC-9FA4-28EBD9265978}" keepAlive="1" name="Query - Sales Transaction" description="Connection to the 'Sales Transaction' query in the workbook." type="5" refreshedVersion="0" background="1">
    <dbPr connection="Provider=Microsoft.Mashup.OleDb.1;Data Source=$Workbook$;Location=&quot;Sales Transaction&quot;;Extended Properties=&quot;&quot;" command="SELECT * FROM [Sales Transaction]"/>
  </connection>
</connections>
</file>

<file path=xl/sharedStrings.xml><?xml version="1.0" encoding="utf-8"?>
<sst xmlns="http://schemas.openxmlformats.org/spreadsheetml/2006/main" count="980" uniqueCount="339">
  <si>
    <t>Transaction ID</t>
  </si>
  <si>
    <t>Date</t>
  </si>
  <si>
    <t>Sales Rep</t>
  </si>
  <si>
    <t>Customer ID</t>
  </si>
  <si>
    <t>Product ID</t>
  </si>
  <si>
    <t>State</t>
  </si>
  <si>
    <t>Quantity</t>
  </si>
  <si>
    <t>Unit Price</t>
  </si>
  <si>
    <t>Revenue</t>
  </si>
  <si>
    <t>Payment Method</t>
  </si>
  <si>
    <t>TXN001</t>
  </si>
  <si>
    <t>01/15/2024</t>
  </si>
  <si>
    <t>james wilson</t>
  </si>
  <si>
    <t>CUST001</t>
  </si>
  <si>
    <t>PRD001</t>
  </si>
  <si>
    <t>california</t>
  </si>
  <si>
    <t>Credit Card</t>
  </si>
  <si>
    <t>TXN002</t>
  </si>
  <si>
    <t>SARAH JOHNSON</t>
  </si>
  <si>
    <t>CUST002</t>
  </si>
  <si>
    <t>PRD002</t>
  </si>
  <si>
    <t>Texas</t>
  </si>
  <si>
    <t>Cash</t>
  </si>
  <si>
    <t>TXN003</t>
  </si>
  <si>
    <t>January 17 2024</t>
  </si>
  <si>
    <t>James Wilson</t>
  </si>
  <si>
    <t>CUST003</t>
  </si>
  <si>
    <t>prd003</t>
  </si>
  <si>
    <t>CALIFORNIA</t>
  </si>
  <si>
    <t>Debit Card</t>
  </si>
  <si>
    <t>TXN004</t>
  </si>
  <si>
    <t>01/18/2024</t>
  </si>
  <si>
    <t>michael brown</t>
  </si>
  <si>
    <t>CUST004</t>
  </si>
  <si>
    <t>PRD004</t>
  </si>
  <si>
    <t>new york</t>
  </si>
  <si>
    <t>TXN005</t>
  </si>
  <si>
    <t>texas</t>
  </si>
  <si>
    <t>TXN006</t>
  </si>
  <si>
    <t>January 20 2024</t>
  </si>
  <si>
    <t>CUST005</t>
  </si>
  <si>
    <t>California</t>
  </si>
  <si>
    <t>TXN007</t>
  </si>
  <si>
    <t>01/21/2024</t>
  </si>
  <si>
    <t>MICHAEL BROWN</t>
  </si>
  <si>
    <t>CUST006</t>
  </si>
  <si>
    <t>prd005</t>
  </si>
  <si>
    <t>NEW YORK</t>
  </si>
  <si>
    <t>TXN008</t>
  </si>
  <si>
    <t>emily davis</t>
  </si>
  <si>
    <t>CUST007</t>
  </si>
  <si>
    <t>PRD003</t>
  </si>
  <si>
    <t>florida</t>
  </si>
  <si>
    <t>TXN009</t>
  </si>
  <si>
    <t>January 23 2024</t>
  </si>
  <si>
    <t>EMILY DAVIS</t>
  </si>
  <si>
    <t>CUST008</t>
  </si>
  <si>
    <t>FLORIDA</t>
  </si>
  <si>
    <t>TXN010</t>
  </si>
  <si>
    <t>01/24/2024</t>
  </si>
  <si>
    <t>CUST009</t>
  </si>
  <si>
    <t>PRD006</t>
  </si>
  <si>
    <t>TXN011</t>
  </si>
  <si>
    <t>01/25/2024</t>
  </si>
  <si>
    <t>CUST010</t>
  </si>
  <si>
    <t>prd001</t>
  </si>
  <si>
    <t>TXN012</t>
  </si>
  <si>
    <t>Michael Brown</t>
  </si>
  <si>
    <t>CUST011</t>
  </si>
  <si>
    <t>PRD007</t>
  </si>
  <si>
    <t>TXN013</t>
  </si>
  <si>
    <t>January 27 2024</t>
  </si>
  <si>
    <t>CUST012</t>
  </si>
  <si>
    <t>TXN014</t>
  </si>
  <si>
    <t>01/28/2024</t>
  </si>
  <si>
    <t>JAMES WILSON</t>
  </si>
  <si>
    <t>CUST013</t>
  </si>
  <si>
    <t>PRD005</t>
  </si>
  <si>
    <t>TXN015</t>
  </si>
  <si>
    <t>sarah johnson</t>
  </si>
  <si>
    <t>CUST014</t>
  </si>
  <si>
    <t>TXN016</t>
  </si>
  <si>
    <t>January 30 2024</t>
  </si>
  <si>
    <t>CUST015</t>
  </si>
  <si>
    <t>New York</t>
  </si>
  <si>
    <t>TXN017</t>
  </si>
  <si>
    <t>01/31/2024</t>
  </si>
  <si>
    <t>CUST016</t>
  </si>
  <si>
    <t>TXN018</t>
  </si>
  <si>
    <t>CUST017</t>
  </si>
  <si>
    <t>TXN019</t>
  </si>
  <si>
    <t>February 2 2024</t>
  </si>
  <si>
    <t>CUST018</t>
  </si>
  <si>
    <t>prd004</t>
  </si>
  <si>
    <t>TEXAS</t>
  </si>
  <si>
    <t>TXN020</t>
  </si>
  <si>
    <t>CUST019</t>
  </si>
  <si>
    <t>TXN021</t>
  </si>
  <si>
    <t>CUST020</t>
  </si>
  <si>
    <t>Florida</t>
  </si>
  <si>
    <t>TXN022</t>
  </si>
  <si>
    <t>February 5 2024</t>
  </si>
  <si>
    <t>CUST021</t>
  </si>
  <si>
    <t>TXN023</t>
  </si>
  <si>
    <t>CUST022</t>
  </si>
  <si>
    <t>TXN024</t>
  </si>
  <si>
    <t>CUST023</t>
  </si>
  <si>
    <t>TXN025</t>
  </si>
  <si>
    <t>February 8 2024</t>
  </si>
  <si>
    <t>CUST024</t>
  </si>
  <si>
    <t>TXN026</t>
  </si>
  <si>
    <t>CUST025</t>
  </si>
  <si>
    <t>prd002</t>
  </si>
  <si>
    <t>TXN027</t>
  </si>
  <si>
    <t>CUST026</t>
  </si>
  <si>
    <t>TXN028</t>
  </si>
  <si>
    <t>February 11 2024</t>
  </si>
  <si>
    <t>CUST027</t>
  </si>
  <si>
    <t>TXN029</t>
  </si>
  <si>
    <t>CUST028</t>
  </si>
  <si>
    <t>TXN030</t>
  </si>
  <si>
    <t>CUST029</t>
  </si>
  <si>
    <t>TXN031</t>
  </si>
  <si>
    <t>February 14 2024</t>
  </si>
  <si>
    <t>CUST030</t>
  </si>
  <si>
    <t>TXN032</t>
  </si>
  <si>
    <t>02/15/2024</t>
  </si>
  <si>
    <t>CUST031</t>
  </si>
  <si>
    <t>TXN033</t>
  </si>
  <si>
    <t>CUST032</t>
  </si>
  <si>
    <t>TXN034</t>
  </si>
  <si>
    <t>February 17 2024</t>
  </si>
  <si>
    <t>CUST033</t>
  </si>
  <si>
    <t>TXN035</t>
  </si>
  <si>
    <t>02/18/2024</t>
  </si>
  <si>
    <t>CUST034</t>
  </si>
  <si>
    <t>Product Name</t>
  </si>
  <si>
    <t>Category</t>
  </si>
  <si>
    <t>Brand</t>
  </si>
  <si>
    <t>Cost Price</t>
  </si>
  <si>
    <t>iPhone 15 Pro</t>
  </si>
  <si>
    <t>Smartphones</t>
  </si>
  <si>
    <t>Apple</t>
  </si>
  <si>
    <t>MacBook Pro 14</t>
  </si>
  <si>
    <t>Laptops</t>
  </si>
  <si>
    <t>Samsung 4K TV</t>
  </si>
  <si>
    <t>Television</t>
  </si>
  <si>
    <t>Samsung</t>
  </si>
  <si>
    <t>AirPods Pro</t>
  </si>
  <si>
    <t>Accessories</t>
  </si>
  <si>
    <t>iPad Air</t>
  </si>
  <si>
    <t>Tablets</t>
  </si>
  <si>
    <t>Sony PlayStation 5</t>
  </si>
  <si>
    <t>Gaming</t>
  </si>
  <si>
    <t>Sony</t>
  </si>
  <si>
    <t>Dell XPS 15</t>
  </si>
  <si>
    <t>Dell</t>
  </si>
  <si>
    <t>SHEET 3 — CUSTOMER DATABASE:</t>
  </si>
  <si>
    <t>Customer Name</t>
  </si>
  <si>
    <t>Email</t>
  </si>
  <si>
    <t>City</t>
  </si>
  <si>
    <t>Member Since</t>
  </si>
  <si>
    <t>Loyalty Tier</t>
  </si>
  <si>
    <t>Robert Martinez</t>
  </si>
  <si>
    <t>robert@email.com</t>
  </si>
  <si>
    <t>Los Angeles</t>
  </si>
  <si>
    <t>01/15/2022</t>
  </si>
  <si>
    <t>Gold</t>
  </si>
  <si>
    <t>Jennifer Smith</t>
  </si>
  <si>
    <t>jennifer@email.com</t>
  </si>
  <si>
    <t>Houston</t>
  </si>
  <si>
    <t>03/22/2021</t>
  </si>
  <si>
    <t>Silver</t>
  </si>
  <si>
    <t>David Chen</t>
  </si>
  <si>
    <t>david@email.com</t>
  </si>
  <si>
    <t>San Francisco</t>
  </si>
  <si>
    <t>Bronze</t>
  </si>
  <si>
    <t>Lisa Thompson</t>
  </si>
  <si>
    <t>lisa@email.com</t>
  </si>
  <si>
    <t>Mark Anderson</t>
  </si>
  <si>
    <t>mark@email.com</t>
  </si>
  <si>
    <t>San Diego</t>
  </si>
  <si>
    <t>02/28/2022</t>
  </si>
  <si>
    <t>Amanda White</t>
  </si>
  <si>
    <t>amanda@email.com</t>
  </si>
  <si>
    <t>Brooklyn</t>
  </si>
  <si>
    <t>09/14/2021</t>
  </si>
  <si>
    <t>Kevin Harris</t>
  </si>
  <si>
    <t>kevin@email.com</t>
  </si>
  <si>
    <t>Miami</t>
  </si>
  <si>
    <t>04/30/2023</t>
  </si>
  <si>
    <t>Rachel Brown</t>
  </si>
  <si>
    <t>rachel@email.com</t>
  </si>
  <si>
    <t>Orlando</t>
  </si>
  <si>
    <t>06/18/2020</t>
  </si>
  <si>
    <t>Steven Garcia</t>
  </si>
  <si>
    <t>steven@email.com</t>
  </si>
  <si>
    <t>Michelle Lee</t>
  </si>
  <si>
    <t>michelle@email.com</t>
  </si>
  <si>
    <t>Dallas</t>
  </si>
  <si>
    <t>08/25/2021</t>
  </si>
  <si>
    <t>Christopher Wilson</t>
  </si>
  <si>
    <t>chris@email.com</t>
  </si>
  <si>
    <t>Manhattan</t>
  </si>
  <si>
    <t>03/17/2023</t>
  </si>
  <si>
    <t>Ashley Davis</t>
  </si>
  <si>
    <t>ashley@email.com</t>
  </si>
  <si>
    <t>Tampa</t>
  </si>
  <si>
    <t>Matthew Johnson</t>
  </si>
  <si>
    <t>matt@email.com</t>
  </si>
  <si>
    <t>San Jose</t>
  </si>
  <si>
    <t>05/14/2022</t>
  </si>
  <si>
    <t>Stephanie Miller</t>
  </si>
  <si>
    <t>steph@email.com</t>
  </si>
  <si>
    <t>Austin</t>
  </si>
  <si>
    <t>01/28/2021</t>
  </si>
  <si>
    <t>Daniel Taylor</t>
  </si>
  <si>
    <t>daniel@email.com</t>
  </si>
  <si>
    <t>Queens</t>
  </si>
  <si>
    <t>07/22/2023</t>
  </si>
  <si>
    <t>Nicole Moore</t>
  </si>
  <si>
    <t>nicole@email.com</t>
  </si>
  <si>
    <t>Jacksonville</t>
  </si>
  <si>
    <t>09/30/2020</t>
  </si>
  <si>
    <t>Ryan Jackson</t>
  </si>
  <si>
    <t>ryan@email.com</t>
  </si>
  <si>
    <t>Pasadena</t>
  </si>
  <si>
    <t>Megan Thomas</t>
  </si>
  <si>
    <t>megan@email.com</t>
  </si>
  <si>
    <t>San Antonio</t>
  </si>
  <si>
    <t>Brandon Martinez</t>
  </si>
  <si>
    <t>brandon@email.com</t>
  </si>
  <si>
    <t>Buffalo</t>
  </si>
  <si>
    <t>02/19/2023</t>
  </si>
  <si>
    <t>Samantha White</t>
  </si>
  <si>
    <t>sam@email.com</t>
  </si>
  <si>
    <t>Fort Lauderdale</t>
  </si>
  <si>
    <t>Tyler Anderson</t>
  </si>
  <si>
    <t>tyler@email.com</t>
  </si>
  <si>
    <t>Fresno</t>
  </si>
  <si>
    <t>06/23/2022</t>
  </si>
  <si>
    <t>Lauren Harris</t>
  </si>
  <si>
    <t>lauren@email.com</t>
  </si>
  <si>
    <t>El Paso</t>
  </si>
  <si>
    <t>12/15/2021</t>
  </si>
  <si>
    <t>Justin Brown</t>
  </si>
  <si>
    <t>justin@email.com</t>
  </si>
  <si>
    <t>Bronx</t>
  </si>
  <si>
    <t>03/28/2023</t>
  </si>
  <si>
    <t>Brittany Garcia</t>
  </si>
  <si>
    <t>brittany@email.com</t>
  </si>
  <si>
    <t>Pensacola</t>
  </si>
  <si>
    <t>10/17/2020</t>
  </si>
  <si>
    <t>Aaron Lee</t>
  </si>
  <si>
    <t>aaron@email.com</t>
  </si>
  <si>
    <t>Sacramento</t>
  </si>
  <si>
    <t>Heather Wilson</t>
  </si>
  <si>
    <t>heather@email.com</t>
  </si>
  <si>
    <t>Lubbock</t>
  </si>
  <si>
    <t>01/14/2021</t>
  </si>
  <si>
    <t>Patrick Davis</t>
  </si>
  <si>
    <t>patrick@email.com</t>
  </si>
  <si>
    <t>Staten Island</t>
  </si>
  <si>
    <t>Courtney Johnson</t>
  </si>
  <si>
    <t>courtney@email.com</t>
  </si>
  <si>
    <t>Clearwater</t>
  </si>
  <si>
    <t>09/25/2020</t>
  </si>
  <si>
    <t>Sean Miller</t>
  </si>
  <si>
    <t>sean@email.com</t>
  </si>
  <si>
    <t>Long Beach</t>
  </si>
  <si>
    <t>11/30/2022</t>
  </si>
  <si>
    <t>Amber Taylor</t>
  </si>
  <si>
    <t>amber@email.com</t>
  </si>
  <si>
    <t>Corpus Christi</t>
  </si>
  <si>
    <t>04/18/2021</t>
  </si>
  <si>
    <t>Jeremy Moore</t>
  </si>
  <si>
    <t>jeremy@email.com</t>
  </si>
  <si>
    <t>Rochester</t>
  </si>
  <si>
    <t>Vanessa Jackson</t>
  </si>
  <si>
    <t>vanessa@email.com</t>
  </si>
  <si>
    <t>Gainesville</t>
  </si>
  <si>
    <t>08/21/2020</t>
  </si>
  <si>
    <t>Travis Thomas</t>
  </si>
  <si>
    <t>travis@email.com</t>
  </si>
  <si>
    <t>Anaheim</t>
  </si>
  <si>
    <t>Cassandra Martinez</t>
  </si>
  <si>
    <t>cassandra@email.com</t>
  </si>
  <si>
    <t>Plano</t>
  </si>
  <si>
    <t>12/29/2021</t>
  </si>
  <si>
    <t>Robert@Email.Com</t>
  </si>
  <si>
    <t>Jennifer@Email.Com</t>
  </si>
  <si>
    <t>David@Email.Com</t>
  </si>
  <si>
    <t>Lisa@Email.Com</t>
  </si>
  <si>
    <t>Mark@Email.Com</t>
  </si>
  <si>
    <t>Amanda@Email.Com</t>
  </si>
  <si>
    <t>Kevin@Email.Com</t>
  </si>
  <si>
    <t>Rachel@Email.Com</t>
  </si>
  <si>
    <t>Steven@Email.Com</t>
  </si>
  <si>
    <t>Michelle@Email.Com</t>
  </si>
  <si>
    <t>Chris@Email.Com</t>
  </si>
  <si>
    <t>Ashley@Email.Com</t>
  </si>
  <si>
    <t>Matt@Email.Com</t>
  </si>
  <si>
    <t>Steph@Email.Com</t>
  </si>
  <si>
    <t>Daniel@Email.Com</t>
  </si>
  <si>
    <t>Nicole@Email.Com</t>
  </si>
  <si>
    <t>Ryan@Email.Com</t>
  </si>
  <si>
    <t>Megan@Email.Com</t>
  </si>
  <si>
    <t>Brandon@Email.Com</t>
  </si>
  <si>
    <t>Sam@Email.Com</t>
  </si>
  <si>
    <t>Tyler@Email.Com</t>
  </si>
  <si>
    <t>Lauren@Email.Com</t>
  </si>
  <si>
    <t>Justin@Email.Com</t>
  </si>
  <si>
    <t>Brittany@Email.Com</t>
  </si>
  <si>
    <t>Aaron@Email.Com</t>
  </si>
  <si>
    <t>Heather@Email.Com</t>
  </si>
  <si>
    <t>Patrick@Email.Com</t>
  </si>
  <si>
    <t>Courtney@Email.Com</t>
  </si>
  <si>
    <t>Sean@Email.Com</t>
  </si>
  <si>
    <t>Amber@Email.Com</t>
  </si>
  <si>
    <t>Jeremy@Email.Com</t>
  </si>
  <si>
    <t>Vanessa@Email.Com</t>
  </si>
  <si>
    <t>Travis@Email.Com</t>
  </si>
  <si>
    <t>Cassandra@Email.Com</t>
  </si>
  <si>
    <t>Sarah Johnson</t>
  </si>
  <si>
    <t>Emily Davis</t>
  </si>
  <si>
    <t>Profit</t>
  </si>
  <si>
    <t xml:space="preserve"> Transaction ID</t>
  </si>
  <si>
    <t xml:space="preserve"> Sales Rep</t>
  </si>
  <si>
    <t xml:space="preserve"> Customer Name</t>
  </si>
  <si>
    <t xml:space="preserve"> State</t>
  </si>
  <si>
    <t>Add new transaction data here then click Data → Refresh All to update everything automatically</t>
  </si>
  <si>
    <t>Total Revenue</t>
  </si>
  <si>
    <t>Total Profit</t>
  </si>
  <si>
    <t>Total Transactions</t>
  </si>
  <si>
    <t>Top Sales Rep</t>
  </si>
  <si>
    <t>Best Performing State</t>
  </si>
  <si>
    <t>Best Product Category</t>
  </si>
  <si>
    <t>Labels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</si>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</sst>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9" formatCode="_-[$$-409]* #,##0.00_ ;_-[$$-409]* \-#,##0.00\ ;_-[$$-409]* &quot;-&quot;??_ ;_-@_ "/>
    <numFmt numFmtId="171" formatCode="[$$-409]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/>
    <xf numFmtId="0" fontId="0" fillId="0" borderId="0" xfId="0" applyNumberFormat="1"/>
    <xf numFmtId="0" fontId="4" fillId="0" borderId="0" xfId="0" applyFont="1" applyAlignment="1">
      <alignment vertical="center" wrapText="1"/>
    </xf>
    <xf numFmtId="169" fontId="0" fillId="0" borderId="0" xfId="2" applyNumberFormat="1" applyFont="1" applyAlignment="1">
      <alignment vertical="center" wrapText="1"/>
    </xf>
    <xf numFmtId="0" fontId="0" fillId="0" borderId="0" xfId="0" applyAlignment="1">
      <alignment horizontal="left" vertical="top"/>
    </xf>
    <xf numFmtId="171" fontId="4" fillId="0" borderId="0" xfId="2" applyNumberFormat="1" applyFont="1" applyAlignment="1">
      <alignment horizontal="center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 Black" panose="020B0A04020102020204" pitchFamily="34" charset="0"/>
              </a:rPr>
              <a:t>Revenue by State</a:t>
            </a:r>
            <a:endParaRPr lang="en-US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View'!$B$1</c:f>
              <c:strCache>
                <c:ptCount val="1"/>
                <c:pt idx="0">
                  <c:v>Smartphones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View'!$B$2:$B$5</c:f>
              <c:numCache>
                <c:formatCode>General</c:formatCode>
                <c:ptCount val="4"/>
                <c:pt idx="0">
                  <c:v>1799.98</c:v>
                </c:pt>
                <c:pt idx="1">
                  <c:v>1799.98</c:v>
                </c:pt>
                <c:pt idx="2">
                  <c:v>2699.97</c:v>
                </c:pt>
                <c:pt idx="3">
                  <c:v>2699.97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1-442D-8660-6FF0163682ED}"/>
            </c:ext>
          </c:extLst>
        </c:ser>
        <c:ser>
          <c:idx val="1"/>
          <c:order val="1"/>
          <c:tx>
            <c:strRef>
              <c:f>'Pivot View'!$C$1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View'!$C$2:$C$5</c:f>
              <c:numCache>
                <c:formatCode>General</c:formatCode>
                <c:ptCount val="4"/>
                <c:pt idx="0">
                  <c:v>3899.97</c:v>
                </c:pt>
                <c:pt idx="1">
                  <c:v>3299.97</c:v>
                </c:pt>
                <c:pt idx="2">
                  <c:v>5599.95</c:v>
                </c:pt>
                <c:pt idx="3">
                  <c:v>3299.97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1-442D-8660-6FF0163682ED}"/>
            </c:ext>
          </c:extLst>
        </c:ser>
        <c:ser>
          <c:idx val="2"/>
          <c:order val="2"/>
          <c:tx>
            <c:strRef>
              <c:f>'Pivot View'!$D$1</c:f>
              <c:strCache>
                <c:ptCount val="1"/>
                <c:pt idx="0">
                  <c:v>Television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View'!$D$2:$D$5</c:f>
              <c:numCache>
                <c:formatCode>General</c:formatCode>
                <c:ptCount val="4"/>
                <c:pt idx="0">
                  <c:v>2499.9499999999998</c:v>
                </c:pt>
                <c:pt idx="1">
                  <c:v>2499.9499999999998</c:v>
                </c:pt>
                <c:pt idx="2">
                  <c:v>2499.9499999999998</c:v>
                </c:pt>
                <c:pt idx="3">
                  <c:v>1499.97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1-442D-8660-6FF0163682ED}"/>
            </c:ext>
          </c:extLst>
        </c:ser>
        <c:ser>
          <c:idx val="3"/>
          <c:order val="3"/>
          <c:tx>
            <c:strRef>
              <c:f>'Pivot View'!$E$1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View'!$E$2:$E$5</c:f>
              <c:numCache>
                <c:formatCode>General</c:formatCode>
                <c:ptCount val="4"/>
                <c:pt idx="0">
                  <c:v>199.99</c:v>
                </c:pt>
                <c:pt idx="1">
                  <c:v>199.99</c:v>
                </c:pt>
                <c:pt idx="2">
                  <c:v>399.98</c:v>
                </c:pt>
                <c:pt idx="3">
                  <c:v>199.99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F1-442D-8660-6FF0163682ED}"/>
            </c:ext>
          </c:extLst>
        </c:ser>
        <c:ser>
          <c:idx val="4"/>
          <c:order val="4"/>
          <c:tx>
            <c:strRef>
              <c:f>'Pivot View'!$F$1</c:f>
              <c:strCache>
                <c:ptCount val="1"/>
                <c:pt idx="0">
                  <c:v>Tablets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View'!$F$2:$F$5</c:f>
              <c:numCache>
                <c:formatCode>General</c:formatCode>
                <c:ptCount val="4"/>
                <c:pt idx="0">
                  <c:v>1049.97</c:v>
                </c:pt>
                <c:pt idx="1">
                  <c:v>349.99</c:v>
                </c:pt>
                <c:pt idx="2">
                  <c:v>699.98</c:v>
                </c:pt>
                <c:pt idx="3">
                  <c:v>699.98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42D-8660-6FF0163682ED}"/>
            </c:ext>
          </c:extLst>
        </c:ser>
        <c:ser>
          <c:idx val="5"/>
          <c:order val="5"/>
          <c:tx>
            <c:strRef>
              <c:f>'Pivot View'!$G$1</c:f>
              <c:strCache>
                <c:ptCount val="1"/>
                <c:pt idx="0">
                  <c:v>Gaming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View'!$G$2:$G$5</c:f>
              <c:numCache>
                <c:formatCode>General</c:formatCode>
                <c:ptCount val="4"/>
                <c:pt idx="0">
                  <c:v>2999.96</c:v>
                </c:pt>
                <c:pt idx="1">
                  <c:v>2999.96</c:v>
                </c:pt>
                <c:pt idx="2">
                  <c:v>749.99</c:v>
                </c:pt>
                <c:pt idx="3">
                  <c:v>1499.98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F1-442D-8660-6FF016368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3541888"/>
        <c:axId val="1603542368"/>
        <c:axId val="0"/>
      </c:bar3DChart>
      <c:catAx>
        <c:axId val="160354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42368"/>
        <c:crosses val="autoZero"/>
        <c:auto val="1"/>
        <c:lblAlgn val="ctr"/>
        <c:lblOffset val="100"/>
        <c:noMultiLvlLbl val="0"/>
      </c:catAx>
      <c:valAx>
        <c:axId val="160354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4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 Black" panose="020B0A04020102020204" pitchFamily="34" charset="0"/>
              </a:rPr>
              <a:t>Revenue by Product Category</a:t>
            </a:r>
            <a:endParaRPr lang="en-US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29966804776482"/>
          <c:y val="0.19476448145987646"/>
          <c:w val="0.80580837873969846"/>
          <c:h val="0.7210260584479630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View'!$B$2:$B$5</c:f>
              <c:numCache>
                <c:formatCode>General</c:formatCode>
                <c:ptCount val="4"/>
                <c:pt idx="0">
                  <c:v>1799.98</c:v>
                </c:pt>
                <c:pt idx="1">
                  <c:v>1799.98</c:v>
                </c:pt>
                <c:pt idx="2">
                  <c:v>2699.97</c:v>
                </c:pt>
                <c:pt idx="3">
                  <c:v>2699.97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E-4A4A-8F97-5DD09B6CF0B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View'!$C$2:$C$5</c:f>
              <c:numCache>
                <c:formatCode>General</c:formatCode>
                <c:ptCount val="4"/>
                <c:pt idx="0">
                  <c:v>3899.97</c:v>
                </c:pt>
                <c:pt idx="1">
                  <c:v>3299.97</c:v>
                </c:pt>
                <c:pt idx="2">
                  <c:v>5599.95</c:v>
                </c:pt>
                <c:pt idx="3">
                  <c:v>3299.97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E-4A4A-8F97-5DD09B6CF0B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View'!$D$2:$D$5</c:f>
              <c:numCache>
                <c:formatCode>General</c:formatCode>
                <c:ptCount val="4"/>
                <c:pt idx="0">
                  <c:v>2499.9499999999998</c:v>
                </c:pt>
                <c:pt idx="1">
                  <c:v>2499.9499999999998</c:v>
                </c:pt>
                <c:pt idx="2">
                  <c:v>2499.9499999999998</c:v>
                </c:pt>
                <c:pt idx="3">
                  <c:v>1499.97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AE-4A4A-8F97-5DD09B6CF0B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View'!$E$2:$E$5</c:f>
              <c:numCache>
                <c:formatCode>General</c:formatCode>
                <c:ptCount val="4"/>
                <c:pt idx="0">
                  <c:v>199.99</c:v>
                </c:pt>
                <c:pt idx="1">
                  <c:v>199.99</c:v>
                </c:pt>
                <c:pt idx="2">
                  <c:v>399.98</c:v>
                </c:pt>
                <c:pt idx="3">
                  <c:v>199.99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AE-4A4A-8F97-5DD09B6CF0B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View'!$F$2:$F$5</c:f>
              <c:numCache>
                <c:formatCode>General</c:formatCode>
                <c:ptCount val="4"/>
                <c:pt idx="0">
                  <c:v>1049.97</c:v>
                </c:pt>
                <c:pt idx="1">
                  <c:v>349.99</c:v>
                </c:pt>
                <c:pt idx="2">
                  <c:v>699.98</c:v>
                </c:pt>
                <c:pt idx="3">
                  <c:v>699.98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AE-4A4A-8F97-5DD09B6CF0B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View'!$A$2:$A$5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View'!$G$2:$G$5</c:f>
              <c:numCache>
                <c:formatCode>General</c:formatCode>
                <c:ptCount val="4"/>
                <c:pt idx="0">
                  <c:v>2999.96</c:v>
                </c:pt>
                <c:pt idx="1">
                  <c:v>2999.96</c:v>
                </c:pt>
                <c:pt idx="2">
                  <c:v>749.99</c:v>
                </c:pt>
                <c:pt idx="3">
                  <c:v>1499.98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AE-4A4A-8F97-5DD09B6C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373552"/>
        <c:axId val="2093375952"/>
      </c:barChart>
      <c:catAx>
        <c:axId val="209337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75952"/>
        <c:crosses val="autoZero"/>
        <c:auto val="1"/>
        <c:lblAlgn val="ctr"/>
        <c:lblOffset val="100"/>
        <c:noMultiLvlLbl val="0"/>
      </c:catAx>
      <c:valAx>
        <c:axId val="20933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7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166687</xdr:rowOff>
    </xdr:from>
    <xdr:to>
      <xdr:col>9</xdr:col>
      <xdr:colOff>523875</xdr:colOff>
      <xdr:row>5</xdr:row>
      <xdr:rowOff>366712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1562C-6822-C54E-016B-A2A8A8DEF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237218</xdr:colOff>
      <xdr:row>5</xdr:row>
      <xdr:rowOff>341766</xdr:rowOff>
    </xdr:from>
    <xdr:to>
      <xdr:col>9</xdr:col>
      <xdr:colOff>534760</xdr:colOff>
      <xdr:row>6</xdr:row>
      <xdr:rowOff>1476148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2AE0CB-3710-CD51-D039-DFA6011D8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32E054-31A8-472F-81D6-4E93918B7112}" autoFormatId="16" applyNumberFormats="0" applyBorderFormats="0" applyFontFormats="0" applyPatternFormats="0" applyAlignmentFormats="0" applyWidthHeightFormats="0">
  <queryTableRefresh nextId="22">
    <queryTableFields count="10">
      <queryTableField id="1" name="Customer Name" tableColumnId="1"/>
      <queryTableField id="4" name="Sales Rep" tableColumnId="4"/>
      <queryTableField id="5" name="Transaction ID" tableColumnId="5"/>
      <queryTableField id="6" name="Date" tableColumnId="6"/>
      <queryTableField id="9" name="State" tableColumnId="9"/>
      <queryTableField id="10" name="Quantity" tableColumnId="10"/>
      <queryTableField id="12" name="Revenue" tableColumnId="12"/>
      <queryTableField id="15" name="Product Name" tableColumnId="15"/>
      <queryTableField id="16" name="Category" tableColumnId="16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279DA12-89FA-47DB-BFDD-ADE8351289AB}" autoFormatId="16" applyNumberFormats="0" applyBorderFormats="0" applyFontFormats="0" applyPatternFormats="0" applyAlignmentFormats="0" applyWidthHeightFormats="0">
  <queryTableRefresh nextId="8">
    <queryTableFields count="7">
      <queryTableField id="1" name="State" tableColumnId="1"/>
      <queryTableField id="2" name="Smartphones" tableColumnId="2"/>
      <queryTableField id="3" name="Laptops" tableColumnId="3"/>
      <queryTableField id="4" name="Television" tableColumnId="4"/>
      <queryTableField id="5" name="Accessories" tableColumnId="5"/>
      <queryTableField id="6" name="Tablets" tableColumnId="6"/>
      <queryTableField id="7" name="Gaming" tableColumnId="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38580-672B-489C-849B-831E39E62A00}" name="Table1" displayName="Table1" ref="A1:J37" totalsRowShown="0" headerRowDxfId="45" dataDxfId="44">
  <autoFilter ref="A1:J37" xr:uid="{BD338580-672B-489C-849B-831E39E62A00}"/>
  <tableColumns count="10">
    <tableColumn id="1" xr3:uid="{0A1D0C63-A355-4A00-BC57-32F321D01493}" name="Transaction ID" dataDxfId="43"/>
    <tableColumn id="2" xr3:uid="{24FC8825-A0B3-45B5-8CB2-25E8282C1DC5}" name="Date" dataDxfId="42"/>
    <tableColumn id="3" xr3:uid="{D8567F72-03F0-43B5-81DF-80E0FF1C21F1}" name="Sales Rep" dataDxfId="41"/>
    <tableColumn id="4" xr3:uid="{F4D9623B-6D51-46D6-9C9C-385E7A63701C}" name="Customer ID" dataDxfId="40"/>
    <tableColumn id="5" xr3:uid="{77B1A509-0149-4F2A-99E2-3DC103778BAB}" name="Product ID" dataDxfId="39"/>
    <tableColumn id="6" xr3:uid="{D36FED1C-64EA-44F8-A116-A1335BFA7BB9}" name="State" dataDxfId="38"/>
    <tableColumn id="7" xr3:uid="{835E430D-4E3C-47BE-B430-45F6A5A58C6C}" name="Quantity" dataDxfId="37"/>
    <tableColumn id="8" xr3:uid="{09D4D2CA-D29F-42C0-A84E-884EB7F2D81A}" name="Unit Price" dataDxfId="36"/>
    <tableColumn id="9" xr3:uid="{2911F3C4-E5E8-4190-95F1-75F5CB78EF30}" name="Revenue" dataDxfId="35"/>
    <tableColumn id="10" xr3:uid="{89A07DAA-F3E6-434C-A387-8FFE3549C518}" name="Payment Method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C9B950-8213-4DC8-8DCD-2F953770D4A1}" name="Table2" displayName="Table2" ref="A1:E8" totalsRowShown="0" headerRowDxfId="33" dataDxfId="32">
  <autoFilter ref="A1:E8" xr:uid="{75C9B950-8213-4DC8-8DCD-2F953770D4A1}"/>
  <tableColumns count="5">
    <tableColumn id="1" xr3:uid="{6970D10C-F30E-4E33-B3E0-4B2BD78C7AD2}" name="Product ID" dataDxfId="31"/>
    <tableColumn id="2" xr3:uid="{55686F4F-FAA2-4CE3-BC9B-B8ECF80745A1}" name="Product Name" dataDxfId="30"/>
    <tableColumn id="3" xr3:uid="{0A4D4BD7-908F-4D30-89B9-768A47C85E39}" name="Category" dataDxfId="29"/>
    <tableColumn id="4" xr3:uid="{54366975-62C9-4D14-A247-3C99613A691B}" name="Brand" dataDxfId="28"/>
    <tableColumn id="5" xr3:uid="{942C96AB-25EC-4143-AB93-73487D9F0704}" name="Cost Price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EEEF82-4F83-4BEA-94D6-D9FC615A11B9}" name="Customer_Database" displayName="Customer_Database" ref="A1:G35" totalsRowShown="0">
  <autoFilter ref="A1:G35" xr:uid="{7AEEEF82-4F83-4BEA-94D6-D9FC615A11B9}"/>
  <tableColumns count="7">
    <tableColumn id="1" xr3:uid="{9C848B16-B476-482D-8CCC-1105E415CB41}" name="Customer ID" dataDxfId="26"/>
    <tableColumn id="2" xr3:uid="{43CFC22E-4C12-4A05-982B-A284A696D808}" name="Customer Name" dataDxfId="25"/>
    <tableColumn id="3" xr3:uid="{D21E7186-523B-4FD7-8458-45F7C8598B26}" name="Email" dataDxfId="24"/>
    <tableColumn id="4" xr3:uid="{EC24449A-FBF1-4DDE-BAC2-97DE5E84D9B0}" name="City" dataDxfId="23"/>
    <tableColumn id="5" xr3:uid="{6B5AF7A5-175C-448C-B774-F40F1C4DA8D1}" name="State" dataDxfId="22"/>
    <tableColumn id="6" xr3:uid="{351D2E44-EF44-485F-B685-57BAD90A151D}" name="Member Since" dataDxfId="21"/>
    <tableColumn id="7" xr3:uid="{A455E5A7-2606-4B82-8B33-288AF7E5C173}" name="Loyalty Tier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80C2B0-7A58-4C43-A4E9-D59A0CBD3B9C}" name="Table3" displayName="Table3" ref="A3:G37" totalsRowShown="0" headerRowDxfId="19" dataDxfId="18">
  <autoFilter ref="A3:G37" xr:uid="{1180C2B0-7A58-4C43-A4E9-D59A0CBD3B9C}"/>
  <tableColumns count="7">
    <tableColumn id="1" xr3:uid="{A441FCF4-D6BD-4F6F-8BD5-CA48A22FACE4}" name="Customer ID" dataDxfId="17"/>
    <tableColumn id="2" xr3:uid="{1208D67C-467A-4FC0-833A-FDD55C935C12}" name="Customer Name" dataDxfId="16"/>
    <tableColumn id="3" xr3:uid="{E093E02B-5CF0-4926-953C-E9FC79EBEAAA}" name="Email" dataDxfId="15" dataCellStyle="Hyperlink"/>
    <tableColumn id="4" xr3:uid="{9B5D9D45-3B68-4F7E-BC89-155B184FE03A}" name="City" dataDxfId="14"/>
    <tableColumn id="5" xr3:uid="{394CABFF-97D8-4F32-A8C7-FAC86C1C11B3}" name="State" dataDxfId="13"/>
    <tableColumn id="6" xr3:uid="{B9241281-F76A-4B86-897E-170B1685F22F}" name="Member Since" dataDxfId="12"/>
    <tableColumn id="7" xr3:uid="{DC1F6E72-6FB2-463C-AA30-E75C8A50F71C}" name="Loyalty Tier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B3A810-3EB2-4396-9E4A-BA1DC88A0148}" name="Master_Sales_Table" displayName="Master_Sales_Table" ref="A1:J37" tableType="queryTable" totalsRowShown="0">
  <autoFilter ref="A1:J37" xr:uid="{61B3A810-3EB2-4396-9E4A-BA1DC88A0148}"/>
  <tableColumns count="10">
    <tableColumn id="1" xr3:uid="{30F00E6B-F8A9-4C33-8956-DF46D1E32320}" uniqueName="1" name="Customer Name" queryTableFieldId="1" dataDxfId="10"/>
    <tableColumn id="4" xr3:uid="{3A34748E-D97C-4C37-A6BF-73F1D19ABEA4}" uniqueName="4" name="Sales Rep" queryTableFieldId="4" dataDxfId="9"/>
    <tableColumn id="5" xr3:uid="{56BAB277-EA86-4720-8F31-934AB50351D5}" uniqueName="5" name="Transaction ID" queryTableFieldId="5" dataDxfId="8"/>
    <tableColumn id="6" xr3:uid="{A563CC43-A02E-4FE8-8917-5C16E4796F4D}" uniqueName="6" name="Date" queryTableFieldId="6" dataDxfId="7"/>
    <tableColumn id="9" xr3:uid="{ACE4F4EA-A48D-43AC-9021-B784488E1E09}" uniqueName="9" name="State" queryTableFieldId="9" dataDxfId="6"/>
    <tableColumn id="10" xr3:uid="{EBED0DB5-92AF-4D8E-8707-EBEF6E5C1144}" uniqueName="10" name="Quantity" queryTableFieldId="10"/>
    <tableColumn id="12" xr3:uid="{1EC81E91-98BF-4241-A1A6-24E379BA69DF}" uniqueName="12" name="Revenue" queryTableFieldId="12"/>
    <tableColumn id="15" xr3:uid="{C24B54CF-F1A6-4FDB-828C-49F9597C3E90}" uniqueName="15" name="Product Name" queryTableFieldId="15" dataDxfId="5"/>
    <tableColumn id="16" xr3:uid="{A3651D6A-66E9-482F-A360-8A43E1B18516}" uniqueName="16" name="Category" queryTableFieldId="16" dataDxfId="4"/>
    <tableColumn id="21" xr3:uid="{AFCFB324-11EA-4679-BDBA-A0825F2B71CA}" uniqueName="21" name="Profit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3D31AC-957A-4C22-B5FD-BAC12C3B5089}" name="Pivot_View" displayName="Pivot_View" ref="A1:G5" tableType="queryTable" totalsRowShown="0">
  <autoFilter ref="A1:G5" xr:uid="{EB3D31AC-957A-4C22-B5FD-BAC12C3B5089}"/>
  <tableColumns count="7">
    <tableColumn id="1" xr3:uid="{EDA927FF-F5A6-4152-B872-63BDD6E5B34B}" uniqueName="1" name="State" queryTableFieldId="1" dataDxfId="3"/>
    <tableColumn id="2" xr3:uid="{8DA21CFD-9364-4667-81AD-48A37F28BCBD}" uniqueName="2" name="Smartphones" queryTableFieldId="2"/>
    <tableColumn id="3" xr3:uid="{D31C263A-BA8B-4A8C-9D1D-79D5C4E66290}" uniqueName="3" name="Laptops" queryTableFieldId="3"/>
    <tableColumn id="4" xr3:uid="{DD58FD61-D076-4B52-B164-4246660B236B}" uniqueName="4" name="Television" queryTableFieldId="4"/>
    <tableColumn id="5" xr3:uid="{80A9E4FC-9DB9-4636-8FF0-2011E9A42E77}" uniqueName="5" name="Accessories" queryTableFieldId="5"/>
    <tableColumn id="6" xr3:uid="{6D7EF97D-F33E-4A49-9503-B1E1F97DA85A}" uniqueName="6" name="Tablets" queryTableFieldId="6"/>
    <tableColumn id="7" xr3:uid="{6F51AD80-AA06-47F8-BA0F-2BBFB527DF74}" uniqueName="7" name="Gaming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0F8C83-A852-481F-A335-15877EB5F6EA}" name="Table7" displayName="Table7" ref="A1:H47" totalsRowShown="0">
  <autoFilter ref="A1:H47" xr:uid="{FF0F8C83-A852-481F-A335-15877EB5F6EA}"/>
  <tableColumns count="8">
    <tableColumn id="1" xr3:uid="{16E565B8-913F-486E-B047-66CF56606364}" name=" Transaction ID"/>
    <tableColumn id="2" xr3:uid="{C83B5186-8360-47C8-A159-CC8F43794159}" name="Date"/>
    <tableColumn id="3" xr3:uid="{F10F3008-4EEB-4596-8723-5B67923B2096}" name=" Sales Rep"/>
    <tableColumn id="4" xr3:uid="{0899C004-BE59-455B-ABD4-202ED8DEE802}" name=" Customer Name"/>
    <tableColumn id="5" xr3:uid="{55E1E5A4-5E30-4629-8461-2AE00DAA1A7D}" name="Product Name"/>
    <tableColumn id="6" xr3:uid="{FD50D618-E8E7-4677-8029-96E186DB73E5}" name=" State"/>
    <tableColumn id="7" xr3:uid="{743886DE-BDEA-4977-98FE-3C66C7F4967E}" name="Quantity"/>
    <tableColumn id="8" xr3:uid="{FF41A19D-D718-40D6-9B00-43F893C5FAA9}" name="Payment Metho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EC56D4-64BD-4567-9E64-3AE639BF7034}" name="Table8" displayName="Table8" ref="A1:B7" totalsRowShown="0" headerRowDxfId="0">
  <autoFilter ref="A1:B7" xr:uid="{A6EC56D4-64BD-4567-9E64-3AE639BF7034}"/>
  <tableColumns count="2">
    <tableColumn id="1" xr3:uid="{7BFD8510-1F39-4BD6-94F5-79A4E945E6DB}" name="Labels" dataDxfId="2"/>
    <tableColumn id="2" xr3:uid="{80B37D56-F475-43AA-B648-83921D305D22}" name="Valu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matt@email.com" TargetMode="External"/><Relationship Id="rId18" Type="http://schemas.openxmlformats.org/officeDocument/2006/relationships/hyperlink" Target="mailto:megan@email.com" TargetMode="External"/><Relationship Id="rId26" Type="http://schemas.openxmlformats.org/officeDocument/2006/relationships/hyperlink" Target="mailto:heather@email.com" TargetMode="External"/><Relationship Id="rId3" Type="http://schemas.openxmlformats.org/officeDocument/2006/relationships/hyperlink" Target="mailto:david@email.com" TargetMode="External"/><Relationship Id="rId21" Type="http://schemas.openxmlformats.org/officeDocument/2006/relationships/hyperlink" Target="mailto:tyler@email.com" TargetMode="External"/><Relationship Id="rId34" Type="http://schemas.openxmlformats.org/officeDocument/2006/relationships/hyperlink" Target="mailto:cassandra@email.com" TargetMode="External"/><Relationship Id="rId7" Type="http://schemas.openxmlformats.org/officeDocument/2006/relationships/hyperlink" Target="mailto:kevin@email.com" TargetMode="External"/><Relationship Id="rId12" Type="http://schemas.openxmlformats.org/officeDocument/2006/relationships/hyperlink" Target="mailto:ashley@email.com" TargetMode="External"/><Relationship Id="rId17" Type="http://schemas.openxmlformats.org/officeDocument/2006/relationships/hyperlink" Target="mailto:ryan@email.com" TargetMode="External"/><Relationship Id="rId25" Type="http://schemas.openxmlformats.org/officeDocument/2006/relationships/hyperlink" Target="mailto:aaron@email.com" TargetMode="External"/><Relationship Id="rId33" Type="http://schemas.openxmlformats.org/officeDocument/2006/relationships/hyperlink" Target="mailto:travis@email.com" TargetMode="External"/><Relationship Id="rId2" Type="http://schemas.openxmlformats.org/officeDocument/2006/relationships/hyperlink" Target="mailto:jennifer@email.com" TargetMode="External"/><Relationship Id="rId16" Type="http://schemas.openxmlformats.org/officeDocument/2006/relationships/hyperlink" Target="mailto:nicole@email.com" TargetMode="External"/><Relationship Id="rId20" Type="http://schemas.openxmlformats.org/officeDocument/2006/relationships/hyperlink" Target="mailto:sam@email.com" TargetMode="External"/><Relationship Id="rId29" Type="http://schemas.openxmlformats.org/officeDocument/2006/relationships/hyperlink" Target="mailto:sean@email.com" TargetMode="External"/><Relationship Id="rId1" Type="http://schemas.openxmlformats.org/officeDocument/2006/relationships/hyperlink" Target="mailto:robert@email.com" TargetMode="External"/><Relationship Id="rId6" Type="http://schemas.openxmlformats.org/officeDocument/2006/relationships/hyperlink" Target="mailto:amanda@email.com" TargetMode="External"/><Relationship Id="rId11" Type="http://schemas.openxmlformats.org/officeDocument/2006/relationships/hyperlink" Target="mailto:chris@email.com" TargetMode="External"/><Relationship Id="rId24" Type="http://schemas.openxmlformats.org/officeDocument/2006/relationships/hyperlink" Target="mailto:brittany@email.com" TargetMode="External"/><Relationship Id="rId32" Type="http://schemas.openxmlformats.org/officeDocument/2006/relationships/hyperlink" Target="mailto:vanessa@email.com" TargetMode="External"/><Relationship Id="rId5" Type="http://schemas.openxmlformats.org/officeDocument/2006/relationships/hyperlink" Target="mailto:mark@email.com" TargetMode="External"/><Relationship Id="rId15" Type="http://schemas.openxmlformats.org/officeDocument/2006/relationships/hyperlink" Target="mailto:daniel@email.com" TargetMode="External"/><Relationship Id="rId23" Type="http://schemas.openxmlformats.org/officeDocument/2006/relationships/hyperlink" Target="mailto:justin@email.com" TargetMode="External"/><Relationship Id="rId28" Type="http://schemas.openxmlformats.org/officeDocument/2006/relationships/hyperlink" Target="mailto:courtney@email.com" TargetMode="External"/><Relationship Id="rId10" Type="http://schemas.openxmlformats.org/officeDocument/2006/relationships/hyperlink" Target="mailto:michelle@email.com" TargetMode="External"/><Relationship Id="rId19" Type="http://schemas.openxmlformats.org/officeDocument/2006/relationships/hyperlink" Target="mailto:brandon@email.com" TargetMode="External"/><Relationship Id="rId31" Type="http://schemas.openxmlformats.org/officeDocument/2006/relationships/hyperlink" Target="mailto:jeremy@email.com" TargetMode="External"/><Relationship Id="rId4" Type="http://schemas.openxmlformats.org/officeDocument/2006/relationships/hyperlink" Target="mailto:lisa@email.com" TargetMode="External"/><Relationship Id="rId9" Type="http://schemas.openxmlformats.org/officeDocument/2006/relationships/hyperlink" Target="mailto:steven@email.com" TargetMode="External"/><Relationship Id="rId14" Type="http://schemas.openxmlformats.org/officeDocument/2006/relationships/hyperlink" Target="mailto:steph@email.com" TargetMode="External"/><Relationship Id="rId22" Type="http://schemas.openxmlformats.org/officeDocument/2006/relationships/hyperlink" Target="mailto:lauren@email.com" TargetMode="External"/><Relationship Id="rId27" Type="http://schemas.openxmlformats.org/officeDocument/2006/relationships/hyperlink" Target="mailto:patrick@email.com" TargetMode="External"/><Relationship Id="rId30" Type="http://schemas.openxmlformats.org/officeDocument/2006/relationships/hyperlink" Target="mailto:amber@email.com" TargetMode="External"/><Relationship Id="rId35" Type="http://schemas.openxmlformats.org/officeDocument/2006/relationships/table" Target="../tables/table4.xml"/><Relationship Id="rId8" Type="http://schemas.openxmlformats.org/officeDocument/2006/relationships/hyperlink" Target="mailto:rachel@e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8A8A-6A68-4054-9D9C-5779398FD3E4}">
  <dimension ref="A1:J37"/>
  <sheetViews>
    <sheetView topLeftCell="A3" zoomScale="80" zoomScaleNormal="80" workbookViewId="0">
      <selection activeCell="O8" sqref="O8"/>
    </sheetView>
  </sheetViews>
  <sheetFormatPr defaultRowHeight="15"/>
  <cols>
    <col min="1" max="1" width="15.5703125" customWidth="1"/>
    <col min="2" max="2" width="11.7109375" customWidth="1"/>
    <col min="3" max="3" width="11.5703125" customWidth="1"/>
    <col min="4" max="4" width="14" customWidth="1"/>
    <col min="5" max="5" width="12.28515625" customWidth="1"/>
    <col min="7" max="7" width="10.85546875" customWidth="1"/>
    <col min="8" max="8" width="11.85546875" customWidth="1"/>
    <col min="9" max="9" width="11" customWidth="1"/>
    <col min="10" max="10" width="18.5703125" customWidth="1"/>
  </cols>
  <sheetData>
    <row r="1" spans="1:10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2</v>
      </c>
      <c r="H2" s="3">
        <v>899.99</v>
      </c>
      <c r="I2" s="3">
        <v>1799.98</v>
      </c>
      <c r="J2" s="3" t="s">
        <v>16</v>
      </c>
    </row>
    <row r="3" spans="1:10" ht="45">
      <c r="A3" s="3" t="s">
        <v>17</v>
      </c>
      <c r="B3" s="4">
        <v>45307</v>
      </c>
      <c r="C3" s="3" t="s">
        <v>18</v>
      </c>
      <c r="D3" s="3" t="s">
        <v>19</v>
      </c>
      <c r="E3" s="3" t="s">
        <v>20</v>
      </c>
      <c r="F3" s="3" t="s">
        <v>21</v>
      </c>
      <c r="G3" s="3">
        <v>1</v>
      </c>
      <c r="H3" s="3">
        <v>1299.99</v>
      </c>
      <c r="I3" s="3">
        <v>1299.99</v>
      </c>
      <c r="J3" s="3" t="s">
        <v>22</v>
      </c>
    </row>
    <row r="4" spans="1:10" ht="30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3</v>
      </c>
      <c r="H4" s="3">
        <v>499.99</v>
      </c>
      <c r="I4" s="3"/>
      <c r="J4" s="3" t="s">
        <v>29</v>
      </c>
    </row>
    <row r="5" spans="1:10" ht="30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>
        <v>2</v>
      </c>
      <c r="H5" s="3">
        <v>199.99</v>
      </c>
      <c r="I5" s="3">
        <v>399.98</v>
      </c>
      <c r="J5" s="3" t="s">
        <v>16</v>
      </c>
    </row>
    <row r="6" spans="1:10" ht="45">
      <c r="A6" s="3" t="s">
        <v>36</v>
      </c>
      <c r="B6" s="4">
        <v>45310</v>
      </c>
      <c r="C6" s="3" t="s">
        <v>18</v>
      </c>
      <c r="D6" s="3" t="s">
        <v>13</v>
      </c>
      <c r="E6" s="3" t="s">
        <v>14</v>
      </c>
      <c r="F6" s="3" t="s">
        <v>37</v>
      </c>
      <c r="G6" s="3">
        <v>1</v>
      </c>
      <c r="H6" s="3">
        <v>899.99</v>
      </c>
      <c r="I6" s="3"/>
      <c r="J6" s="3" t="s">
        <v>22</v>
      </c>
    </row>
    <row r="7" spans="1:10" ht="30">
      <c r="A7" s="3" t="s">
        <v>38</v>
      </c>
      <c r="B7" s="3" t="s">
        <v>39</v>
      </c>
      <c r="C7" s="3" t="s">
        <v>25</v>
      </c>
      <c r="D7" s="3" t="s">
        <v>40</v>
      </c>
      <c r="E7" s="3" t="s">
        <v>20</v>
      </c>
      <c r="F7" s="3" t="s">
        <v>41</v>
      </c>
      <c r="G7" s="3">
        <v>2</v>
      </c>
      <c r="H7" s="3">
        <v>1299.99</v>
      </c>
      <c r="I7" s="3">
        <v>2599.98</v>
      </c>
      <c r="J7" s="3" t="s">
        <v>29</v>
      </c>
    </row>
    <row r="8" spans="1:10" ht="30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/>
      <c r="H8" s="3">
        <v>349.99</v>
      </c>
      <c r="I8" s="3">
        <v>699.98</v>
      </c>
      <c r="J8" s="3" t="s">
        <v>16</v>
      </c>
    </row>
    <row r="9" spans="1:10" ht="30">
      <c r="A9" s="3" t="s">
        <v>48</v>
      </c>
      <c r="B9" s="4">
        <v>45313</v>
      </c>
      <c r="C9" s="3" t="s">
        <v>49</v>
      </c>
      <c r="D9" s="3" t="s">
        <v>50</v>
      </c>
      <c r="E9" s="3" t="s">
        <v>51</v>
      </c>
      <c r="F9" s="3" t="s">
        <v>52</v>
      </c>
      <c r="G9" s="3">
        <v>2</v>
      </c>
      <c r="H9" s="3">
        <v>499.99</v>
      </c>
      <c r="I9" s="3">
        <v>999.98</v>
      </c>
      <c r="J9" s="3" t="s">
        <v>22</v>
      </c>
    </row>
    <row r="10" spans="1:10" ht="30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34</v>
      </c>
      <c r="F10" s="3" t="s">
        <v>57</v>
      </c>
      <c r="G10" s="3">
        <v>1</v>
      </c>
      <c r="H10" s="3">
        <v>199.99</v>
      </c>
      <c r="I10" s="3"/>
      <c r="J10" s="3" t="s">
        <v>29</v>
      </c>
    </row>
    <row r="11" spans="1:10" ht="30">
      <c r="A11" s="3" t="s">
        <v>58</v>
      </c>
      <c r="B11" s="3" t="s">
        <v>59</v>
      </c>
      <c r="C11" s="3" t="s">
        <v>12</v>
      </c>
      <c r="D11" s="3" t="s">
        <v>60</v>
      </c>
      <c r="E11" s="3" t="s">
        <v>61</v>
      </c>
      <c r="F11" s="3" t="s">
        <v>15</v>
      </c>
      <c r="G11" s="3">
        <v>3</v>
      </c>
      <c r="H11" s="3">
        <v>749.99</v>
      </c>
      <c r="I11" s="3"/>
      <c r="J11" s="3" t="s">
        <v>16</v>
      </c>
    </row>
    <row r="12" spans="1:10" ht="30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>
        <v>2</v>
      </c>
      <c r="H12" s="3">
        <v>899.99</v>
      </c>
      <c r="I12" s="3">
        <v>1799.98</v>
      </c>
      <c r="J12" s="3" t="s">
        <v>16</v>
      </c>
    </row>
    <row r="13" spans="1:10" ht="30">
      <c r="A13" s="3" t="s">
        <v>62</v>
      </c>
      <c r="B13" s="3" t="s">
        <v>63</v>
      </c>
      <c r="C13" s="3" t="s">
        <v>18</v>
      </c>
      <c r="D13" s="3" t="s">
        <v>64</v>
      </c>
      <c r="E13" s="3" t="s">
        <v>65</v>
      </c>
      <c r="F13" s="3" t="s">
        <v>21</v>
      </c>
      <c r="G13" s="3">
        <v>2</v>
      </c>
      <c r="H13" s="3">
        <v>899.99</v>
      </c>
      <c r="I13" s="3">
        <v>1799.98</v>
      </c>
      <c r="J13" s="3" t="s">
        <v>22</v>
      </c>
    </row>
    <row r="14" spans="1:10" ht="30">
      <c r="A14" s="3" t="s">
        <v>66</v>
      </c>
      <c r="B14" s="4">
        <v>45317</v>
      </c>
      <c r="C14" s="3" t="s">
        <v>67</v>
      </c>
      <c r="D14" s="3" t="s">
        <v>68</v>
      </c>
      <c r="E14" s="3" t="s">
        <v>69</v>
      </c>
      <c r="F14" s="3" t="s">
        <v>35</v>
      </c>
      <c r="G14" s="3">
        <v>1</v>
      </c>
      <c r="H14" s="3">
        <v>999.99</v>
      </c>
      <c r="I14" s="3"/>
      <c r="J14" s="3" t="s">
        <v>29</v>
      </c>
    </row>
    <row r="15" spans="1:10" ht="30">
      <c r="A15" s="3" t="s">
        <v>70</v>
      </c>
      <c r="B15" s="3" t="s">
        <v>71</v>
      </c>
      <c r="C15" s="3" t="s">
        <v>49</v>
      </c>
      <c r="D15" s="3" t="s">
        <v>72</v>
      </c>
      <c r="E15" s="3" t="s">
        <v>20</v>
      </c>
      <c r="F15" s="3" t="s">
        <v>52</v>
      </c>
      <c r="G15" s="3"/>
      <c r="H15" s="3">
        <v>1299.99</v>
      </c>
      <c r="I15" s="3">
        <v>2599.98</v>
      </c>
      <c r="J15" s="3" t="s">
        <v>16</v>
      </c>
    </row>
    <row r="16" spans="1:10" ht="30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28</v>
      </c>
      <c r="G16" s="3">
        <v>2</v>
      </c>
      <c r="H16" s="3">
        <v>349.99</v>
      </c>
      <c r="I16" s="3">
        <v>699.98</v>
      </c>
      <c r="J16" s="3" t="s">
        <v>22</v>
      </c>
    </row>
    <row r="17" spans="1:10" ht="30">
      <c r="A17" s="3" t="s">
        <v>78</v>
      </c>
      <c r="B17" s="4">
        <v>45320</v>
      </c>
      <c r="C17" s="3" t="s">
        <v>79</v>
      </c>
      <c r="D17" s="3" t="s">
        <v>80</v>
      </c>
      <c r="E17" s="3" t="s">
        <v>27</v>
      </c>
      <c r="F17" s="3" t="s">
        <v>37</v>
      </c>
      <c r="G17" s="3">
        <v>3</v>
      </c>
      <c r="H17" s="3">
        <v>499.99</v>
      </c>
      <c r="I17" s="3">
        <v>1499.97</v>
      </c>
      <c r="J17" s="3" t="s">
        <v>29</v>
      </c>
    </row>
    <row r="18" spans="1:10" ht="30">
      <c r="A18" s="3" t="s">
        <v>81</v>
      </c>
      <c r="B18" s="3" t="s">
        <v>82</v>
      </c>
      <c r="C18" s="3" t="s">
        <v>67</v>
      </c>
      <c r="D18" s="3" t="s">
        <v>83</v>
      </c>
      <c r="E18" s="3" t="s">
        <v>61</v>
      </c>
      <c r="F18" s="3" t="s">
        <v>84</v>
      </c>
      <c r="G18" s="3">
        <v>1</v>
      </c>
      <c r="H18" s="3">
        <v>749.99</v>
      </c>
      <c r="I18" s="3"/>
      <c r="J18" s="3" t="s">
        <v>16</v>
      </c>
    </row>
    <row r="19" spans="1:10" ht="30">
      <c r="A19" s="3" t="s">
        <v>85</v>
      </c>
      <c r="B19" s="3" t="s">
        <v>86</v>
      </c>
      <c r="C19" s="3" t="s">
        <v>55</v>
      </c>
      <c r="D19" s="3" t="s">
        <v>87</v>
      </c>
      <c r="E19" s="3" t="s">
        <v>69</v>
      </c>
      <c r="F19" s="3" t="s">
        <v>52</v>
      </c>
      <c r="G19" s="3">
        <v>2</v>
      </c>
      <c r="H19" s="3">
        <v>999.99</v>
      </c>
      <c r="I19" s="3">
        <v>1999.98</v>
      </c>
      <c r="J19" s="3" t="s">
        <v>22</v>
      </c>
    </row>
    <row r="20" spans="1:10" ht="30">
      <c r="A20" s="3" t="s">
        <v>88</v>
      </c>
      <c r="B20" s="4">
        <v>45323</v>
      </c>
      <c r="C20" s="3" t="s">
        <v>12</v>
      </c>
      <c r="D20" s="3" t="s">
        <v>89</v>
      </c>
      <c r="E20" s="3" t="s">
        <v>14</v>
      </c>
      <c r="F20" s="3" t="s">
        <v>15</v>
      </c>
      <c r="G20" s="3"/>
      <c r="H20" s="3">
        <v>899.99</v>
      </c>
      <c r="I20" s="3">
        <v>1799.98</v>
      </c>
      <c r="J20" s="3" t="s">
        <v>29</v>
      </c>
    </row>
    <row r="21" spans="1:10" ht="30">
      <c r="A21" s="3" t="s">
        <v>90</v>
      </c>
      <c r="B21" s="3" t="s">
        <v>91</v>
      </c>
      <c r="C21" s="3" t="s">
        <v>18</v>
      </c>
      <c r="D21" s="3" t="s">
        <v>92</v>
      </c>
      <c r="E21" s="3" t="s">
        <v>93</v>
      </c>
      <c r="F21" s="3" t="s">
        <v>94</v>
      </c>
      <c r="G21" s="3">
        <v>1</v>
      </c>
      <c r="H21" s="3">
        <v>199.99</v>
      </c>
      <c r="I21" s="3">
        <v>199.99</v>
      </c>
      <c r="J21" s="3" t="s">
        <v>16</v>
      </c>
    </row>
    <row r="22" spans="1:10" ht="30">
      <c r="A22" s="3" t="s">
        <v>95</v>
      </c>
      <c r="B22" s="4">
        <v>45353</v>
      </c>
      <c r="C22" s="3" t="s">
        <v>32</v>
      </c>
      <c r="D22" s="3" t="s">
        <v>96</v>
      </c>
      <c r="E22" s="3" t="s">
        <v>20</v>
      </c>
      <c r="F22" s="3" t="s">
        <v>35</v>
      </c>
      <c r="G22" s="3">
        <v>2</v>
      </c>
      <c r="H22" s="3">
        <v>1299.99</v>
      </c>
      <c r="I22" s="3"/>
      <c r="J22" s="3" t="s">
        <v>22</v>
      </c>
    </row>
    <row r="23" spans="1:10" ht="30">
      <c r="A23" s="3" t="s">
        <v>97</v>
      </c>
      <c r="B23" s="4">
        <v>45326</v>
      </c>
      <c r="C23" s="3" t="s">
        <v>55</v>
      </c>
      <c r="D23" s="3" t="s">
        <v>98</v>
      </c>
      <c r="E23" s="3" t="s">
        <v>51</v>
      </c>
      <c r="F23" s="3" t="s">
        <v>99</v>
      </c>
      <c r="G23" s="3">
        <v>3</v>
      </c>
      <c r="H23" s="3">
        <v>499.99</v>
      </c>
      <c r="I23" s="3">
        <v>1499.97</v>
      </c>
      <c r="J23" s="3" t="s">
        <v>29</v>
      </c>
    </row>
    <row r="24" spans="1:10" ht="30">
      <c r="A24" s="3" t="s">
        <v>100</v>
      </c>
      <c r="B24" s="3" t="s">
        <v>101</v>
      </c>
      <c r="C24" s="3" t="s">
        <v>12</v>
      </c>
      <c r="D24" s="3" t="s">
        <v>102</v>
      </c>
      <c r="E24" s="3" t="s">
        <v>46</v>
      </c>
      <c r="F24" s="3" t="s">
        <v>28</v>
      </c>
      <c r="G24" s="3">
        <v>1</v>
      </c>
      <c r="H24" s="3">
        <v>349.99</v>
      </c>
      <c r="I24" s="3"/>
      <c r="J24" s="3" t="s">
        <v>16</v>
      </c>
    </row>
    <row r="25" spans="1:10" ht="30">
      <c r="A25" s="3" t="s">
        <v>103</v>
      </c>
      <c r="B25" s="4">
        <v>45445</v>
      </c>
      <c r="C25" s="3" t="s">
        <v>18</v>
      </c>
      <c r="D25" s="3" t="s">
        <v>104</v>
      </c>
      <c r="E25" s="3" t="s">
        <v>61</v>
      </c>
      <c r="F25" s="3" t="s">
        <v>37</v>
      </c>
      <c r="G25" s="3">
        <v>2</v>
      </c>
      <c r="H25" s="3">
        <v>749.99</v>
      </c>
      <c r="I25" s="3">
        <v>1499.98</v>
      </c>
      <c r="J25" s="3" t="s">
        <v>22</v>
      </c>
    </row>
    <row r="26" spans="1:10" ht="30">
      <c r="A26" s="3" t="s">
        <v>105</v>
      </c>
      <c r="B26" s="4">
        <v>45329</v>
      </c>
      <c r="C26" s="3" t="s">
        <v>67</v>
      </c>
      <c r="D26" s="3" t="s">
        <v>106</v>
      </c>
      <c r="E26" s="3" t="s">
        <v>69</v>
      </c>
      <c r="F26" s="3" t="s">
        <v>47</v>
      </c>
      <c r="G26" s="3"/>
      <c r="H26" s="3">
        <v>999.99</v>
      </c>
      <c r="I26" s="3">
        <v>999.99</v>
      </c>
      <c r="J26" s="3" t="s">
        <v>29</v>
      </c>
    </row>
    <row r="27" spans="1:10" ht="30">
      <c r="A27" s="3" t="s">
        <v>107</v>
      </c>
      <c r="B27" s="3" t="s">
        <v>108</v>
      </c>
      <c r="C27" s="3" t="s">
        <v>49</v>
      </c>
      <c r="D27" s="3" t="s">
        <v>109</v>
      </c>
      <c r="E27" s="3" t="s">
        <v>14</v>
      </c>
      <c r="F27" s="3" t="s">
        <v>52</v>
      </c>
      <c r="G27" s="3">
        <v>2</v>
      </c>
      <c r="H27" s="3">
        <v>899.99</v>
      </c>
      <c r="I27" s="3"/>
      <c r="J27" s="3" t="s">
        <v>16</v>
      </c>
    </row>
    <row r="28" spans="1:10" ht="30">
      <c r="A28" s="3" t="s">
        <v>110</v>
      </c>
      <c r="B28" s="4">
        <v>45537</v>
      </c>
      <c r="C28" s="3" t="s">
        <v>75</v>
      </c>
      <c r="D28" s="3" t="s">
        <v>111</v>
      </c>
      <c r="E28" s="3" t="s">
        <v>112</v>
      </c>
      <c r="F28" s="3" t="s">
        <v>41</v>
      </c>
      <c r="G28" s="3">
        <v>1</v>
      </c>
      <c r="H28" s="3">
        <v>1299.99</v>
      </c>
      <c r="I28" s="3">
        <v>1299.99</v>
      </c>
      <c r="J28" s="3" t="s">
        <v>22</v>
      </c>
    </row>
    <row r="29" spans="1:10" ht="30">
      <c r="A29" s="3" t="s">
        <v>113</v>
      </c>
      <c r="B29" s="4">
        <v>45332</v>
      </c>
      <c r="C29" s="3" t="s">
        <v>79</v>
      </c>
      <c r="D29" s="3" t="s">
        <v>114</v>
      </c>
      <c r="E29" s="3" t="s">
        <v>51</v>
      </c>
      <c r="F29" s="3" t="s">
        <v>94</v>
      </c>
      <c r="G29" s="3">
        <v>3</v>
      </c>
      <c r="H29" s="3">
        <v>499.99</v>
      </c>
      <c r="I29" s="3"/>
      <c r="J29" s="3" t="s">
        <v>29</v>
      </c>
    </row>
    <row r="30" spans="1:10" ht="30">
      <c r="A30" s="3" t="s">
        <v>115</v>
      </c>
      <c r="B30" s="3" t="s">
        <v>116</v>
      </c>
      <c r="C30" s="3" t="s">
        <v>67</v>
      </c>
      <c r="D30" s="3" t="s">
        <v>117</v>
      </c>
      <c r="E30" s="3" t="s">
        <v>34</v>
      </c>
      <c r="F30" s="3" t="s">
        <v>35</v>
      </c>
      <c r="G30" s="3">
        <v>2</v>
      </c>
      <c r="H30" s="3">
        <v>199.99</v>
      </c>
      <c r="I30" s="3">
        <v>399.98</v>
      </c>
      <c r="J30" s="3" t="s">
        <v>16</v>
      </c>
    </row>
    <row r="31" spans="1:10" ht="30">
      <c r="A31" s="3" t="s">
        <v>118</v>
      </c>
      <c r="B31" s="4">
        <v>45628</v>
      </c>
      <c r="C31" s="3" t="s">
        <v>55</v>
      </c>
      <c r="D31" s="3" t="s">
        <v>119</v>
      </c>
      <c r="E31" s="3" t="s">
        <v>46</v>
      </c>
      <c r="F31" s="3" t="s">
        <v>57</v>
      </c>
      <c r="G31" s="3">
        <v>1</v>
      </c>
      <c r="H31" s="3">
        <v>349.99</v>
      </c>
      <c r="I31" s="3">
        <v>349.99</v>
      </c>
      <c r="J31" s="3" t="s">
        <v>22</v>
      </c>
    </row>
    <row r="32" spans="1:10" ht="30">
      <c r="A32" s="3" t="s">
        <v>120</v>
      </c>
      <c r="B32" s="4">
        <v>45335</v>
      </c>
      <c r="C32" s="3" t="s">
        <v>12</v>
      </c>
      <c r="D32" s="3" t="s">
        <v>121</v>
      </c>
      <c r="E32" s="3" t="s">
        <v>61</v>
      </c>
      <c r="F32" s="3" t="s">
        <v>15</v>
      </c>
      <c r="G32" s="3"/>
      <c r="H32" s="3">
        <v>749.99</v>
      </c>
      <c r="I32" s="3">
        <v>1499.98</v>
      </c>
      <c r="J32" s="3" t="s">
        <v>29</v>
      </c>
    </row>
    <row r="33" spans="1:10" ht="30">
      <c r="A33" s="3" t="s">
        <v>122</v>
      </c>
      <c r="B33" s="3" t="s">
        <v>123</v>
      </c>
      <c r="C33" s="3" t="s">
        <v>18</v>
      </c>
      <c r="D33" s="3" t="s">
        <v>124</v>
      </c>
      <c r="E33" s="3" t="s">
        <v>69</v>
      </c>
      <c r="F33" s="3" t="s">
        <v>21</v>
      </c>
      <c r="G33" s="3">
        <v>2</v>
      </c>
      <c r="H33" s="3">
        <v>999.99</v>
      </c>
      <c r="I33" s="3"/>
      <c r="J33" s="3" t="s">
        <v>16</v>
      </c>
    </row>
    <row r="34" spans="1:10" ht="30">
      <c r="A34" s="3" t="s">
        <v>125</v>
      </c>
      <c r="B34" s="3" t="s">
        <v>126</v>
      </c>
      <c r="C34" s="3" t="s">
        <v>32</v>
      </c>
      <c r="D34" s="3" t="s">
        <v>127</v>
      </c>
      <c r="E34" s="3" t="s">
        <v>65</v>
      </c>
      <c r="F34" s="3" t="s">
        <v>47</v>
      </c>
      <c r="G34" s="3">
        <v>3</v>
      </c>
      <c r="H34" s="3">
        <v>899.99</v>
      </c>
      <c r="I34" s="3">
        <v>2699.97</v>
      </c>
      <c r="J34" s="3" t="s">
        <v>22</v>
      </c>
    </row>
    <row r="35" spans="1:10" ht="30">
      <c r="A35" s="3" t="s">
        <v>128</v>
      </c>
      <c r="B35" s="4">
        <v>45338</v>
      </c>
      <c r="C35" s="3" t="s">
        <v>55</v>
      </c>
      <c r="D35" s="3" t="s">
        <v>129</v>
      </c>
      <c r="E35" s="3" t="s">
        <v>20</v>
      </c>
      <c r="F35" s="3" t="s">
        <v>52</v>
      </c>
      <c r="G35" s="3">
        <v>1</v>
      </c>
      <c r="H35" s="3">
        <v>1299.99</v>
      </c>
      <c r="I35" s="3">
        <v>1299.99</v>
      </c>
      <c r="J35" s="3" t="s">
        <v>29</v>
      </c>
    </row>
    <row r="36" spans="1:10" ht="30">
      <c r="A36" s="3" t="s">
        <v>130</v>
      </c>
      <c r="B36" s="3" t="s">
        <v>131</v>
      </c>
      <c r="C36" s="3" t="s">
        <v>12</v>
      </c>
      <c r="D36" s="3" t="s">
        <v>132</v>
      </c>
      <c r="E36" s="3" t="s">
        <v>51</v>
      </c>
      <c r="F36" s="3" t="s">
        <v>28</v>
      </c>
      <c r="G36" s="3">
        <v>2</v>
      </c>
      <c r="H36" s="3">
        <v>499.99</v>
      </c>
      <c r="I36" s="3"/>
      <c r="J36" s="3" t="s">
        <v>16</v>
      </c>
    </row>
    <row r="37" spans="1:10" ht="30">
      <c r="A37" s="3" t="s">
        <v>133</v>
      </c>
      <c r="B37" s="3" t="s">
        <v>134</v>
      </c>
      <c r="C37" s="3" t="s">
        <v>18</v>
      </c>
      <c r="D37" s="3" t="s">
        <v>135</v>
      </c>
      <c r="E37" s="3" t="s">
        <v>93</v>
      </c>
      <c r="F37" s="3" t="s">
        <v>37</v>
      </c>
      <c r="G37" s="3">
        <v>1</v>
      </c>
      <c r="H37" s="3">
        <v>199.99</v>
      </c>
      <c r="I37" s="3">
        <v>199.99</v>
      </c>
      <c r="J37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37ED-7A01-4941-95F1-8E2732A76D33}">
  <dimension ref="A1:E8"/>
  <sheetViews>
    <sheetView workbookViewId="0">
      <selection activeCell="G6" sqref="G6"/>
    </sheetView>
  </sheetViews>
  <sheetFormatPr defaultRowHeight="15"/>
  <cols>
    <col min="1" max="1" width="12.28515625" customWidth="1"/>
    <col min="2" max="2" width="15.7109375" customWidth="1"/>
    <col min="3" max="3" width="11" customWidth="1"/>
    <col min="5" max="5" width="11.85546875" customWidth="1"/>
    <col min="8" max="8" width="11" customWidth="1"/>
  </cols>
  <sheetData>
    <row r="1" spans="1:5" ht="30">
      <c r="A1" s="2" t="s">
        <v>4</v>
      </c>
      <c r="B1" s="2" t="s">
        <v>136</v>
      </c>
      <c r="C1" s="2" t="s">
        <v>137</v>
      </c>
      <c r="D1" s="2" t="s">
        <v>138</v>
      </c>
      <c r="E1" s="2" t="s">
        <v>139</v>
      </c>
    </row>
    <row r="2" spans="1:5" ht="30">
      <c r="A2" s="3" t="s">
        <v>14</v>
      </c>
      <c r="B2" s="3" t="s">
        <v>140</v>
      </c>
      <c r="C2" s="3" t="s">
        <v>141</v>
      </c>
      <c r="D2" s="3" t="s">
        <v>142</v>
      </c>
      <c r="E2" s="3">
        <v>650</v>
      </c>
    </row>
    <row r="3" spans="1:5" ht="30">
      <c r="A3" s="3" t="s">
        <v>20</v>
      </c>
      <c r="B3" s="3" t="s">
        <v>143</v>
      </c>
      <c r="C3" s="3" t="s">
        <v>144</v>
      </c>
      <c r="D3" s="3" t="s">
        <v>142</v>
      </c>
      <c r="E3" s="3">
        <v>950</v>
      </c>
    </row>
    <row r="4" spans="1:5" ht="30">
      <c r="A4" s="3" t="s">
        <v>51</v>
      </c>
      <c r="B4" s="3" t="s">
        <v>145</v>
      </c>
      <c r="C4" s="3" t="s">
        <v>146</v>
      </c>
      <c r="D4" s="3" t="s">
        <v>147</v>
      </c>
      <c r="E4" s="3">
        <v>320</v>
      </c>
    </row>
    <row r="5" spans="1:5" ht="30">
      <c r="A5" s="3" t="s">
        <v>34</v>
      </c>
      <c r="B5" s="3" t="s">
        <v>148</v>
      </c>
      <c r="C5" s="3" t="s">
        <v>149</v>
      </c>
      <c r="D5" s="3" t="s">
        <v>142</v>
      </c>
      <c r="E5" s="3">
        <v>120</v>
      </c>
    </row>
    <row r="6" spans="1:5">
      <c r="A6" s="3" t="s">
        <v>77</v>
      </c>
      <c r="B6" s="3" t="s">
        <v>150</v>
      </c>
      <c r="C6" s="3" t="s">
        <v>151</v>
      </c>
      <c r="D6" s="3" t="s">
        <v>142</v>
      </c>
      <c r="E6" s="3">
        <v>280</v>
      </c>
    </row>
    <row r="7" spans="1:5" ht="45">
      <c r="A7" s="3" t="s">
        <v>61</v>
      </c>
      <c r="B7" s="3" t="s">
        <v>152</v>
      </c>
      <c r="C7" s="3" t="s">
        <v>153</v>
      </c>
      <c r="D7" s="3" t="s">
        <v>154</v>
      </c>
      <c r="E7" s="3">
        <v>450</v>
      </c>
    </row>
    <row r="8" spans="1:5" ht="30">
      <c r="A8" s="3" t="s">
        <v>69</v>
      </c>
      <c r="B8" s="3" t="s">
        <v>155</v>
      </c>
      <c r="C8" s="3" t="s">
        <v>144</v>
      </c>
      <c r="D8" s="3" t="s">
        <v>156</v>
      </c>
      <c r="E8" s="3">
        <v>780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6A30-4E15-4968-AEB5-AF5B9E4E698F}">
  <dimension ref="A1:G35"/>
  <sheetViews>
    <sheetView workbookViewId="0">
      <selection activeCell="J12" sqref="J12"/>
    </sheetView>
  </sheetViews>
  <sheetFormatPr defaultRowHeight="15"/>
  <cols>
    <col min="1" max="1" width="14.140625" bestFit="1" customWidth="1"/>
    <col min="2" max="2" width="18.42578125" bestFit="1" customWidth="1"/>
    <col min="3" max="3" width="21.5703125" bestFit="1" customWidth="1"/>
    <col min="4" max="4" width="15" bestFit="1" customWidth="1"/>
    <col min="5" max="5" width="9.5703125" bestFit="1" customWidth="1"/>
    <col min="6" max="6" width="16.28515625" bestFit="1" customWidth="1"/>
    <col min="7" max="7" width="13.42578125" bestFit="1" customWidth="1"/>
  </cols>
  <sheetData>
    <row r="1" spans="1:7">
      <c r="A1" t="s">
        <v>3</v>
      </c>
      <c r="B1" t="s">
        <v>158</v>
      </c>
      <c r="C1" t="s">
        <v>159</v>
      </c>
      <c r="D1" t="s">
        <v>160</v>
      </c>
      <c r="E1" t="s">
        <v>5</v>
      </c>
      <c r="F1" t="s">
        <v>161</v>
      </c>
      <c r="G1" t="s">
        <v>162</v>
      </c>
    </row>
    <row r="2" spans="1:7">
      <c r="A2" t="s">
        <v>13</v>
      </c>
      <c r="B2" t="s">
        <v>163</v>
      </c>
      <c r="C2" t="s">
        <v>289</v>
      </c>
      <c r="D2" t="s">
        <v>165</v>
      </c>
      <c r="E2" t="s">
        <v>41</v>
      </c>
      <c r="F2" s="6">
        <v>45021</v>
      </c>
      <c r="G2" t="s">
        <v>167</v>
      </c>
    </row>
    <row r="3" spans="1:7">
      <c r="A3" t="s">
        <v>19</v>
      </c>
      <c r="B3" t="s">
        <v>168</v>
      </c>
      <c r="C3" t="s">
        <v>290</v>
      </c>
      <c r="D3" t="s">
        <v>170</v>
      </c>
      <c r="E3" t="s">
        <v>21</v>
      </c>
      <c r="F3" s="6">
        <v>45021</v>
      </c>
      <c r="G3" t="s">
        <v>172</v>
      </c>
    </row>
    <row r="4" spans="1:7">
      <c r="A4" t="s">
        <v>26</v>
      </c>
      <c r="B4" t="s">
        <v>173</v>
      </c>
      <c r="C4" t="s">
        <v>291</v>
      </c>
      <c r="D4" t="s">
        <v>175</v>
      </c>
      <c r="E4" t="s">
        <v>41</v>
      </c>
      <c r="F4" s="6">
        <v>45206</v>
      </c>
      <c r="G4" t="s">
        <v>176</v>
      </c>
    </row>
    <row r="5" spans="1:7">
      <c r="A5" t="s">
        <v>33</v>
      </c>
      <c r="B5" t="s">
        <v>177</v>
      </c>
      <c r="C5" t="s">
        <v>292</v>
      </c>
      <c r="D5" t="s">
        <v>84</v>
      </c>
      <c r="E5" t="s">
        <v>84</v>
      </c>
      <c r="F5" s="6">
        <v>43962</v>
      </c>
      <c r="G5" t="s">
        <v>167</v>
      </c>
    </row>
    <row r="6" spans="1:7">
      <c r="A6" t="s">
        <v>40</v>
      </c>
      <c r="B6" t="s">
        <v>179</v>
      </c>
      <c r="C6" t="s">
        <v>293</v>
      </c>
      <c r="D6" t="s">
        <v>181</v>
      </c>
      <c r="E6" t="s">
        <v>41</v>
      </c>
      <c r="F6" s="6">
        <v>45021</v>
      </c>
      <c r="G6" t="s">
        <v>172</v>
      </c>
    </row>
    <row r="7" spans="1:7">
      <c r="A7" t="s">
        <v>45</v>
      </c>
      <c r="B7" t="s">
        <v>183</v>
      </c>
      <c r="C7" t="s">
        <v>294</v>
      </c>
      <c r="D7" t="s">
        <v>185</v>
      </c>
      <c r="E7" t="s">
        <v>84</v>
      </c>
      <c r="F7" s="6">
        <v>45021</v>
      </c>
      <c r="G7" t="s">
        <v>176</v>
      </c>
    </row>
    <row r="8" spans="1:7">
      <c r="A8" t="s">
        <v>50</v>
      </c>
      <c r="B8" t="s">
        <v>187</v>
      </c>
      <c r="C8" t="s">
        <v>295</v>
      </c>
      <c r="D8" t="s">
        <v>189</v>
      </c>
      <c r="E8" t="s">
        <v>99</v>
      </c>
      <c r="F8" s="6">
        <v>45021</v>
      </c>
      <c r="G8" t="s">
        <v>172</v>
      </c>
    </row>
    <row r="9" spans="1:7">
      <c r="A9" t="s">
        <v>56</v>
      </c>
      <c r="B9" t="s">
        <v>191</v>
      </c>
      <c r="C9" t="s">
        <v>296</v>
      </c>
      <c r="D9" t="s">
        <v>193</v>
      </c>
      <c r="E9" t="s">
        <v>99</v>
      </c>
      <c r="F9" s="6">
        <v>45021</v>
      </c>
      <c r="G9" t="s">
        <v>167</v>
      </c>
    </row>
    <row r="10" spans="1:7">
      <c r="A10" t="s">
        <v>60</v>
      </c>
      <c r="B10" t="s">
        <v>195</v>
      </c>
      <c r="C10" t="s">
        <v>297</v>
      </c>
      <c r="D10" t="s">
        <v>165</v>
      </c>
      <c r="E10" t="s">
        <v>41</v>
      </c>
      <c r="F10" s="6">
        <v>44573</v>
      </c>
      <c r="G10" t="s">
        <v>176</v>
      </c>
    </row>
    <row r="11" spans="1:7">
      <c r="A11" t="s">
        <v>64</v>
      </c>
      <c r="B11" t="s">
        <v>197</v>
      </c>
      <c r="C11" t="s">
        <v>298</v>
      </c>
      <c r="D11" t="s">
        <v>199</v>
      </c>
      <c r="E11" t="s">
        <v>21</v>
      </c>
      <c r="F11" s="6">
        <v>45021</v>
      </c>
      <c r="G11" t="s">
        <v>167</v>
      </c>
    </row>
    <row r="12" spans="1:7">
      <c r="A12" t="s">
        <v>68</v>
      </c>
      <c r="B12" t="s">
        <v>201</v>
      </c>
      <c r="C12" t="s">
        <v>299</v>
      </c>
      <c r="D12" t="s">
        <v>203</v>
      </c>
      <c r="E12" t="s">
        <v>84</v>
      </c>
      <c r="F12" s="6">
        <v>45021</v>
      </c>
      <c r="G12" t="s">
        <v>172</v>
      </c>
    </row>
    <row r="13" spans="1:7">
      <c r="A13" t="s">
        <v>72</v>
      </c>
      <c r="B13" t="s">
        <v>205</v>
      </c>
      <c r="C13" t="s">
        <v>300</v>
      </c>
      <c r="D13" t="s">
        <v>207</v>
      </c>
      <c r="E13" t="s">
        <v>99</v>
      </c>
      <c r="F13" s="6">
        <v>44084</v>
      </c>
      <c r="G13" t="s">
        <v>176</v>
      </c>
    </row>
    <row r="14" spans="1:7">
      <c r="A14" t="s">
        <v>76</v>
      </c>
      <c r="B14" t="s">
        <v>208</v>
      </c>
      <c r="C14" t="s">
        <v>301</v>
      </c>
      <c r="D14" t="s">
        <v>210</v>
      </c>
      <c r="E14" t="s">
        <v>41</v>
      </c>
      <c r="F14" s="6">
        <v>45021</v>
      </c>
      <c r="G14" t="s">
        <v>167</v>
      </c>
    </row>
    <row r="15" spans="1:7">
      <c r="A15" t="s">
        <v>80</v>
      </c>
      <c r="B15" t="s">
        <v>212</v>
      </c>
      <c r="C15" t="s">
        <v>302</v>
      </c>
      <c r="D15" t="s">
        <v>214</v>
      </c>
      <c r="E15" t="s">
        <v>21</v>
      </c>
      <c r="F15" s="6">
        <v>45021</v>
      </c>
      <c r="G15" t="s">
        <v>172</v>
      </c>
    </row>
    <row r="16" spans="1:7">
      <c r="A16" t="s">
        <v>83</v>
      </c>
      <c r="B16" t="s">
        <v>216</v>
      </c>
      <c r="C16" t="s">
        <v>303</v>
      </c>
      <c r="D16" t="s">
        <v>218</v>
      </c>
      <c r="E16" t="s">
        <v>84</v>
      </c>
      <c r="F16" s="6">
        <v>45021</v>
      </c>
      <c r="G16" t="s">
        <v>176</v>
      </c>
    </row>
    <row r="17" spans="1:7">
      <c r="A17" t="s">
        <v>87</v>
      </c>
      <c r="B17" t="s">
        <v>220</v>
      </c>
      <c r="C17" t="s">
        <v>304</v>
      </c>
      <c r="D17" t="s">
        <v>222</v>
      </c>
      <c r="E17" t="s">
        <v>99</v>
      </c>
      <c r="F17" s="6">
        <v>45021</v>
      </c>
      <c r="G17" t="s">
        <v>167</v>
      </c>
    </row>
    <row r="18" spans="1:7">
      <c r="A18" t="s">
        <v>89</v>
      </c>
      <c r="B18" t="s">
        <v>224</v>
      </c>
      <c r="C18" t="s">
        <v>305</v>
      </c>
      <c r="D18" t="s">
        <v>226</v>
      </c>
      <c r="E18" t="s">
        <v>41</v>
      </c>
      <c r="F18" s="6">
        <v>44876</v>
      </c>
      <c r="G18" t="s">
        <v>172</v>
      </c>
    </row>
    <row r="19" spans="1:7">
      <c r="A19" t="s">
        <v>92</v>
      </c>
      <c r="B19" t="s">
        <v>227</v>
      </c>
      <c r="C19" t="s">
        <v>306</v>
      </c>
      <c r="D19" t="s">
        <v>229</v>
      </c>
      <c r="E19" t="s">
        <v>21</v>
      </c>
      <c r="F19" s="6">
        <v>44320</v>
      </c>
      <c r="G19" t="s">
        <v>176</v>
      </c>
    </row>
    <row r="20" spans="1:7">
      <c r="A20" t="s">
        <v>96</v>
      </c>
      <c r="B20" t="s">
        <v>230</v>
      </c>
      <c r="C20" t="s">
        <v>307</v>
      </c>
      <c r="D20" t="s">
        <v>232</v>
      </c>
      <c r="E20" t="s">
        <v>84</v>
      </c>
      <c r="F20" s="6">
        <v>45021</v>
      </c>
      <c r="G20" t="s">
        <v>167</v>
      </c>
    </row>
    <row r="21" spans="1:7">
      <c r="A21" t="s">
        <v>98</v>
      </c>
      <c r="B21" t="s">
        <v>234</v>
      </c>
      <c r="C21" t="s">
        <v>308</v>
      </c>
      <c r="D21" t="s">
        <v>236</v>
      </c>
      <c r="E21" t="s">
        <v>99</v>
      </c>
      <c r="F21" s="6">
        <v>44020</v>
      </c>
      <c r="G21" t="s">
        <v>172</v>
      </c>
    </row>
    <row r="22" spans="1:7">
      <c r="A22" t="s">
        <v>102</v>
      </c>
      <c r="B22" t="s">
        <v>237</v>
      </c>
      <c r="C22" t="s">
        <v>309</v>
      </c>
      <c r="D22" t="s">
        <v>239</v>
      </c>
      <c r="E22" t="s">
        <v>41</v>
      </c>
      <c r="F22" s="6">
        <v>45021</v>
      </c>
      <c r="G22" t="s">
        <v>176</v>
      </c>
    </row>
    <row r="23" spans="1:7">
      <c r="A23" t="s">
        <v>104</v>
      </c>
      <c r="B23" t="s">
        <v>241</v>
      </c>
      <c r="C23" t="s">
        <v>310</v>
      </c>
      <c r="D23" t="s">
        <v>243</v>
      </c>
      <c r="E23" t="s">
        <v>21</v>
      </c>
      <c r="F23" s="6">
        <v>45021</v>
      </c>
      <c r="G23" t="s">
        <v>167</v>
      </c>
    </row>
    <row r="24" spans="1:7">
      <c r="A24" t="s">
        <v>106</v>
      </c>
      <c r="B24" t="s">
        <v>245</v>
      </c>
      <c r="C24" t="s">
        <v>311</v>
      </c>
      <c r="D24" t="s">
        <v>247</v>
      </c>
      <c r="E24" t="s">
        <v>84</v>
      </c>
      <c r="F24" s="6">
        <v>45021</v>
      </c>
      <c r="G24" t="s">
        <v>172</v>
      </c>
    </row>
    <row r="25" spans="1:7">
      <c r="A25" t="s">
        <v>109</v>
      </c>
      <c r="B25" t="s">
        <v>249</v>
      </c>
      <c r="C25" t="s">
        <v>312</v>
      </c>
      <c r="D25" t="s">
        <v>251</v>
      </c>
      <c r="E25" t="s">
        <v>99</v>
      </c>
      <c r="F25" s="6">
        <v>45021</v>
      </c>
      <c r="G25" t="s">
        <v>176</v>
      </c>
    </row>
    <row r="26" spans="1:7">
      <c r="A26" t="s">
        <v>111</v>
      </c>
      <c r="B26" t="s">
        <v>253</v>
      </c>
      <c r="C26" t="s">
        <v>313</v>
      </c>
      <c r="D26" t="s">
        <v>255</v>
      </c>
      <c r="E26" t="s">
        <v>41</v>
      </c>
      <c r="F26" s="6">
        <v>44566</v>
      </c>
      <c r="G26" t="s">
        <v>167</v>
      </c>
    </row>
    <row r="27" spans="1:7">
      <c r="A27" t="s">
        <v>114</v>
      </c>
      <c r="B27" t="s">
        <v>256</v>
      </c>
      <c r="C27" t="s">
        <v>314</v>
      </c>
      <c r="D27" t="s">
        <v>258</v>
      </c>
      <c r="E27" t="s">
        <v>21</v>
      </c>
      <c r="F27" s="6">
        <v>45021</v>
      </c>
      <c r="G27" t="s">
        <v>172</v>
      </c>
    </row>
    <row r="28" spans="1:7">
      <c r="A28" t="s">
        <v>117</v>
      </c>
      <c r="B28" t="s">
        <v>260</v>
      </c>
      <c r="C28" t="s">
        <v>315</v>
      </c>
      <c r="D28" t="s">
        <v>262</v>
      </c>
      <c r="E28" t="s">
        <v>84</v>
      </c>
      <c r="F28" s="6">
        <v>45176</v>
      </c>
      <c r="G28" t="s">
        <v>176</v>
      </c>
    </row>
    <row r="29" spans="1:7">
      <c r="A29" t="s">
        <v>119</v>
      </c>
      <c r="B29" t="s">
        <v>263</v>
      </c>
      <c r="C29" t="s">
        <v>316</v>
      </c>
      <c r="D29" t="s">
        <v>265</v>
      </c>
      <c r="E29" t="s">
        <v>99</v>
      </c>
      <c r="F29" s="6">
        <v>45021</v>
      </c>
      <c r="G29" t="s">
        <v>167</v>
      </c>
    </row>
    <row r="30" spans="1:7">
      <c r="A30" t="s">
        <v>121</v>
      </c>
      <c r="B30" t="s">
        <v>267</v>
      </c>
      <c r="C30" t="s">
        <v>317</v>
      </c>
      <c r="D30" t="s">
        <v>269</v>
      </c>
      <c r="E30" t="s">
        <v>41</v>
      </c>
      <c r="F30" s="6">
        <v>45021</v>
      </c>
      <c r="G30" t="s">
        <v>172</v>
      </c>
    </row>
    <row r="31" spans="1:7">
      <c r="A31" t="s">
        <v>124</v>
      </c>
      <c r="B31" t="s">
        <v>271</v>
      </c>
      <c r="C31" t="s">
        <v>318</v>
      </c>
      <c r="D31" t="s">
        <v>273</v>
      </c>
      <c r="E31" t="s">
        <v>21</v>
      </c>
      <c r="F31" s="6">
        <v>45021</v>
      </c>
      <c r="G31" t="s">
        <v>176</v>
      </c>
    </row>
    <row r="32" spans="1:7">
      <c r="A32" t="s">
        <v>127</v>
      </c>
      <c r="B32" t="s">
        <v>275</v>
      </c>
      <c r="C32" t="s">
        <v>319</v>
      </c>
      <c r="D32" t="s">
        <v>277</v>
      </c>
      <c r="E32" t="s">
        <v>84</v>
      </c>
      <c r="F32" s="6">
        <v>45079</v>
      </c>
      <c r="G32" t="s">
        <v>167</v>
      </c>
    </row>
    <row r="33" spans="1:7">
      <c r="A33" t="s">
        <v>129</v>
      </c>
      <c r="B33" t="s">
        <v>278</v>
      </c>
      <c r="C33" t="s">
        <v>320</v>
      </c>
      <c r="D33" t="s">
        <v>280</v>
      </c>
      <c r="E33" t="s">
        <v>99</v>
      </c>
      <c r="F33" s="6">
        <v>45021</v>
      </c>
      <c r="G33" t="s">
        <v>172</v>
      </c>
    </row>
    <row r="34" spans="1:7">
      <c r="A34" t="s">
        <v>132</v>
      </c>
      <c r="B34" t="s">
        <v>282</v>
      </c>
      <c r="C34" t="s">
        <v>321</v>
      </c>
      <c r="D34" t="s">
        <v>284</v>
      </c>
      <c r="E34" t="s">
        <v>41</v>
      </c>
      <c r="F34" s="6">
        <v>44748</v>
      </c>
      <c r="G34" t="s">
        <v>176</v>
      </c>
    </row>
    <row r="35" spans="1:7">
      <c r="A35" t="s">
        <v>135</v>
      </c>
      <c r="B35" t="s">
        <v>285</v>
      </c>
      <c r="C35" t="s">
        <v>322</v>
      </c>
      <c r="D35" t="s">
        <v>287</v>
      </c>
      <c r="E35" t="s">
        <v>21</v>
      </c>
      <c r="F35" s="6">
        <v>45021</v>
      </c>
      <c r="G35" t="s">
        <v>167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00E4-6BF1-4E29-98F3-05AAC9EABA2C}">
  <dimension ref="A1:G37"/>
  <sheetViews>
    <sheetView topLeftCell="A35" workbookViewId="0">
      <selection activeCell="I35" sqref="I35"/>
    </sheetView>
  </sheetViews>
  <sheetFormatPr defaultRowHeight="15"/>
  <cols>
    <col min="1" max="1" width="14" customWidth="1"/>
    <col min="2" max="2" width="17.42578125" customWidth="1"/>
    <col min="3" max="3" width="18.28515625" customWidth="1"/>
    <col min="6" max="6" width="16" customWidth="1"/>
    <col min="7" max="7" width="13.28515625" customWidth="1"/>
  </cols>
  <sheetData>
    <row r="1" spans="1:7">
      <c r="A1" s="1" t="s">
        <v>157</v>
      </c>
    </row>
    <row r="3" spans="1:7" ht="30">
      <c r="A3" s="2" t="s">
        <v>3</v>
      </c>
      <c r="B3" s="2" t="s">
        <v>158</v>
      </c>
      <c r="C3" s="2" t="s">
        <v>159</v>
      </c>
      <c r="D3" s="2" t="s">
        <v>160</v>
      </c>
      <c r="E3" s="2" t="s">
        <v>5</v>
      </c>
      <c r="F3" s="2" t="s">
        <v>161</v>
      </c>
      <c r="G3" s="2" t="s">
        <v>162</v>
      </c>
    </row>
    <row r="4" spans="1:7" ht="45">
      <c r="A4" s="3" t="s">
        <v>13</v>
      </c>
      <c r="B4" s="3" t="s">
        <v>163</v>
      </c>
      <c r="C4" s="5" t="s">
        <v>164</v>
      </c>
      <c r="D4" s="3" t="s">
        <v>165</v>
      </c>
      <c r="E4" s="3" t="s">
        <v>41</v>
      </c>
      <c r="F4" s="3" t="s">
        <v>166</v>
      </c>
      <c r="G4" s="3" t="s">
        <v>167</v>
      </c>
    </row>
    <row r="5" spans="1:7" ht="45">
      <c r="A5" s="3" t="s">
        <v>19</v>
      </c>
      <c r="B5" s="3" t="s">
        <v>168</v>
      </c>
      <c r="C5" s="5" t="s">
        <v>169</v>
      </c>
      <c r="D5" s="3" t="s">
        <v>170</v>
      </c>
      <c r="E5" s="3" t="s">
        <v>21</v>
      </c>
      <c r="F5" s="3" t="s">
        <v>171</v>
      </c>
      <c r="G5" s="3" t="s">
        <v>172</v>
      </c>
    </row>
    <row r="6" spans="1:7" ht="30">
      <c r="A6" s="3" t="s">
        <v>26</v>
      </c>
      <c r="B6" s="3" t="s">
        <v>173</v>
      </c>
      <c r="C6" s="5" t="s">
        <v>174</v>
      </c>
      <c r="D6" s="3" t="s">
        <v>175</v>
      </c>
      <c r="E6" s="3" t="s">
        <v>41</v>
      </c>
      <c r="F6" s="4">
        <v>45206</v>
      </c>
      <c r="G6" s="3" t="s">
        <v>176</v>
      </c>
    </row>
    <row r="7" spans="1:7" ht="45">
      <c r="A7" s="3" t="s">
        <v>33</v>
      </c>
      <c r="B7" s="3" t="s">
        <v>177</v>
      </c>
      <c r="C7" s="5" t="s">
        <v>178</v>
      </c>
      <c r="D7" s="3" t="s">
        <v>84</v>
      </c>
      <c r="E7" s="3" t="s">
        <v>84</v>
      </c>
      <c r="F7" s="4">
        <v>43962</v>
      </c>
      <c r="G7" s="3" t="s">
        <v>167</v>
      </c>
    </row>
    <row r="8" spans="1:7" ht="45">
      <c r="A8" s="3" t="s">
        <v>40</v>
      </c>
      <c r="B8" s="3" t="s">
        <v>179</v>
      </c>
      <c r="C8" s="5" t="s">
        <v>180</v>
      </c>
      <c r="D8" s="3" t="s">
        <v>181</v>
      </c>
      <c r="E8" s="3" t="s">
        <v>41</v>
      </c>
      <c r="F8" s="3" t="s">
        <v>182</v>
      </c>
      <c r="G8" s="3" t="s">
        <v>172</v>
      </c>
    </row>
    <row r="9" spans="1:7" ht="45">
      <c r="A9" s="3" t="s">
        <v>45</v>
      </c>
      <c r="B9" s="3" t="s">
        <v>183</v>
      </c>
      <c r="C9" s="5" t="s">
        <v>184</v>
      </c>
      <c r="D9" s="3" t="s">
        <v>185</v>
      </c>
      <c r="E9" s="3" t="s">
        <v>84</v>
      </c>
      <c r="F9" s="3" t="s">
        <v>186</v>
      </c>
      <c r="G9" s="3" t="s">
        <v>176</v>
      </c>
    </row>
    <row r="10" spans="1:7" ht="30">
      <c r="A10" s="3" t="s">
        <v>50</v>
      </c>
      <c r="B10" s="3" t="s">
        <v>187</v>
      </c>
      <c r="C10" s="5" t="s">
        <v>188</v>
      </c>
      <c r="D10" s="3" t="s">
        <v>189</v>
      </c>
      <c r="E10" s="3" t="s">
        <v>99</v>
      </c>
      <c r="F10" s="3" t="s">
        <v>190</v>
      </c>
      <c r="G10" s="3" t="s">
        <v>172</v>
      </c>
    </row>
    <row r="11" spans="1:7" ht="45">
      <c r="A11" s="3" t="s">
        <v>56</v>
      </c>
      <c r="B11" s="3" t="s">
        <v>191</v>
      </c>
      <c r="C11" s="5" t="s">
        <v>192</v>
      </c>
      <c r="D11" s="3" t="s">
        <v>193</v>
      </c>
      <c r="E11" s="3" t="s">
        <v>99</v>
      </c>
      <c r="F11" s="3" t="s">
        <v>194</v>
      </c>
      <c r="G11" s="3" t="s">
        <v>167</v>
      </c>
    </row>
    <row r="12" spans="1:7" ht="45">
      <c r="A12" s="3" t="s">
        <v>60</v>
      </c>
      <c r="B12" s="3" t="s">
        <v>195</v>
      </c>
      <c r="C12" s="5" t="s">
        <v>196</v>
      </c>
      <c r="D12" s="3" t="s">
        <v>165</v>
      </c>
      <c r="E12" s="3" t="s">
        <v>41</v>
      </c>
      <c r="F12" s="4">
        <v>44573</v>
      </c>
      <c r="G12" s="3" t="s">
        <v>176</v>
      </c>
    </row>
    <row r="13" spans="1:7" ht="45">
      <c r="A13" s="3" t="s">
        <v>64</v>
      </c>
      <c r="B13" s="3" t="s">
        <v>197</v>
      </c>
      <c r="C13" s="5" t="s">
        <v>198</v>
      </c>
      <c r="D13" s="3" t="s">
        <v>199</v>
      </c>
      <c r="E13" s="3" t="s">
        <v>21</v>
      </c>
      <c r="F13" s="3" t="s">
        <v>200</v>
      </c>
      <c r="G13" s="3" t="s">
        <v>167</v>
      </c>
    </row>
    <row r="14" spans="1:7" ht="45">
      <c r="A14" s="3" t="s">
        <v>68</v>
      </c>
      <c r="B14" s="3" t="s">
        <v>201</v>
      </c>
      <c r="C14" s="5" t="s">
        <v>202</v>
      </c>
      <c r="D14" s="3" t="s">
        <v>203</v>
      </c>
      <c r="E14" s="3" t="s">
        <v>84</v>
      </c>
      <c r="F14" s="3" t="s">
        <v>204</v>
      </c>
      <c r="G14" s="3" t="s">
        <v>172</v>
      </c>
    </row>
    <row r="15" spans="1:7" ht="45">
      <c r="A15" s="3" t="s">
        <v>72</v>
      </c>
      <c r="B15" s="3" t="s">
        <v>205</v>
      </c>
      <c r="C15" s="5" t="s">
        <v>206</v>
      </c>
      <c r="D15" s="3" t="s">
        <v>207</v>
      </c>
      <c r="E15" s="3" t="s">
        <v>99</v>
      </c>
      <c r="F15" s="4">
        <v>44084</v>
      </c>
      <c r="G15" s="3" t="s">
        <v>176</v>
      </c>
    </row>
    <row r="16" spans="1:7" ht="30">
      <c r="A16" s="3" t="s">
        <v>76</v>
      </c>
      <c r="B16" s="3" t="s">
        <v>208</v>
      </c>
      <c r="C16" s="5" t="s">
        <v>209</v>
      </c>
      <c r="D16" s="3" t="s">
        <v>210</v>
      </c>
      <c r="E16" s="3" t="s">
        <v>41</v>
      </c>
      <c r="F16" s="3" t="s">
        <v>211</v>
      </c>
      <c r="G16" s="3" t="s">
        <v>167</v>
      </c>
    </row>
    <row r="17" spans="1:7" ht="30">
      <c r="A17" s="3" t="s">
        <v>80</v>
      </c>
      <c r="B17" s="3" t="s">
        <v>212</v>
      </c>
      <c r="C17" s="5" t="s">
        <v>213</v>
      </c>
      <c r="D17" s="3" t="s">
        <v>214</v>
      </c>
      <c r="E17" s="3" t="s">
        <v>21</v>
      </c>
      <c r="F17" s="3" t="s">
        <v>215</v>
      </c>
      <c r="G17" s="3" t="s">
        <v>172</v>
      </c>
    </row>
    <row r="18" spans="1:7" ht="45">
      <c r="A18" s="3" t="s">
        <v>83</v>
      </c>
      <c r="B18" s="3" t="s">
        <v>216</v>
      </c>
      <c r="C18" s="5" t="s">
        <v>217</v>
      </c>
      <c r="D18" s="3" t="s">
        <v>218</v>
      </c>
      <c r="E18" s="3" t="s">
        <v>84</v>
      </c>
      <c r="F18" s="3" t="s">
        <v>219</v>
      </c>
      <c r="G18" s="3" t="s">
        <v>176</v>
      </c>
    </row>
    <row r="19" spans="1:7" ht="45">
      <c r="A19" s="3" t="s">
        <v>87</v>
      </c>
      <c r="B19" s="3" t="s">
        <v>220</v>
      </c>
      <c r="C19" s="5" t="s">
        <v>221</v>
      </c>
      <c r="D19" s="3" t="s">
        <v>222</v>
      </c>
      <c r="E19" s="3" t="s">
        <v>99</v>
      </c>
      <c r="F19" s="3" t="s">
        <v>223</v>
      </c>
      <c r="G19" s="3" t="s">
        <v>167</v>
      </c>
    </row>
    <row r="20" spans="1:7" ht="30">
      <c r="A20" s="3" t="s">
        <v>89</v>
      </c>
      <c r="B20" s="3" t="s">
        <v>224</v>
      </c>
      <c r="C20" s="5" t="s">
        <v>225</v>
      </c>
      <c r="D20" s="3" t="s">
        <v>226</v>
      </c>
      <c r="E20" s="3" t="s">
        <v>41</v>
      </c>
      <c r="F20" s="4">
        <v>44876</v>
      </c>
      <c r="G20" s="3" t="s">
        <v>172</v>
      </c>
    </row>
    <row r="21" spans="1:7" ht="45">
      <c r="A21" s="3" t="s">
        <v>92</v>
      </c>
      <c r="B21" s="3" t="s">
        <v>227</v>
      </c>
      <c r="C21" s="5" t="s">
        <v>228</v>
      </c>
      <c r="D21" s="3" t="s">
        <v>229</v>
      </c>
      <c r="E21" s="3" t="s">
        <v>21</v>
      </c>
      <c r="F21" s="4">
        <v>44320</v>
      </c>
      <c r="G21" s="3" t="s">
        <v>176</v>
      </c>
    </row>
    <row r="22" spans="1:7" ht="45">
      <c r="A22" s="3" t="s">
        <v>96</v>
      </c>
      <c r="B22" s="3" t="s">
        <v>230</v>
      </c>
      <c r="C22" s="5" t="s">
        <v>231</v>
      </c>
      <c r="D22" s="3" t="s">
        <v>232</v>
      </c>
      <c r="E22" s="3" t="s">
        <v>84</v>
      </c>
      <c r="F22" s="3" t="s">
        <v>233</v>
      </c>
      <c r="G22" s="3" t="s">
        <v>167</v>
      </c>
    </row>
    <row r="23" spans="1:7" ht="45">
      <c r="A23" s="3" t="s">
        <v>98</v>
      </c>
      <c r="B23" s="3" t="s">
        <v>234</v>
      </c>
      <c r="C23" s="5" t="s">
        <v>235</v>
      </c>
      <c r="D23" s="3" t="s">
        <v>236</v>
      </c>
      <c r="E23" s="3" t="s">
        <v>99</v>
      </c>
      <c r="F23" s="4">
        <v>44020</v>
      </c>
      <c r="G23" s="3" t="s">
        <v>172</v>
      </c>
    </row>
    <row r="24" spans="1:7" ht="45">
      <c r="A24" s="3" t="s">
        <v>102</v>
      </c>
      <c r="B24" s="3" t="s">
        <v>237</v>
      </c>
      <c r="C24" s="5" t="s">
        <v>238</v>
      </c>
      <c r="D24" s="3" t="s">
        <v>239</v>
      </c>
      <c r="E24" s="3" t="s">
        <v>41</v>
      </c>
      <c r="F24" s="3" t="s">
        <v>240</v>
      </c>
      <c r="G24" s="3" t="s">
        <v>176</v>
      </c>
    </row>
    <row r="25" spans="1:7" ht="45">
      <c r="A25" s="3" t="s">
        <v>104</v>
      </c>
      <c r="B25" s="3" t="s">
        <v>241</v>
      </c>
      <c r="C25" s="5" t="s">
        <v>242</v>
      </c>
      <c r="D25" s="3" t="s">
        <v>243</v>
      </c>
      <c r="E25" s="3" t="s">
        <v>21</v>
      </c>
      <c r="F25" s="3" t="s">
        <v>244</v>
      </c>
      <c r="G25" s="3" t="s">
        <v>167</v>
      </c>
    </row>
    <row r="26" spans="1:7" ht="30">
      <c r="A26" s="3" t="s">
        <v>106</v>
      </c>
      <c r="B26" s="3" t="s">
        <v>245</v>
      </c>
      <c r="C26" s="5" t="s">
        <v>246</v>
      </c>
      <c r="D26" s="3" t="s">
        <v>247</v>
      </c>
      <c r="E26" s="3" t="s">
        <v>84</v>
      </c>
      <c r="F26" s="3" t="s">
        <v>248</v>
      </c>
      <c r="G26" s="3" t="s">
        <v>172</v>
      </c>
    </row>
    <row r="27" spans="1:7" ht="45">
      <c r="A27" s="3" t="s">
        <v>109</v>
      </c>
      <c r="B27" s="3" t="s">
        <v>249</v>
      </c>
      <c r="C27" s="5" t="s">
        <v>250</v>
      </c>
      <c r="D27" s="3" t="s">
        <v>251</v>
      </c>
      <c r="E27" s="3" t="s">
        <v>99</v>
      </c>
      <c r="F27" s="3" t="s">
        <v>252</v>
      </c>
      <c r="G27" s="3" t="s">
        <v>176</v>
      </c>
    </row>
    <row r="28" spans="1:7" ht="30">
      <c r="A28" s="3" t="s">
        <v>111</v>
      </c>
      <c r="B28" s="3" t="s">
        <v>253</v>
      </c>
      <c r="C28" s="5" t="s">
        <v>254</v>
      </c>
      <c r="D28" s="3" t="s">
        <v>255</v>
      </c>
      <c r="E28" s="3" t="s">
        <v>41</v>
      </c>
      <c r="F28" s="4">
        <v>44566</v>
      </c>
      <c r="G28" s="3" t="s">
        <v>167</v>
      </c>
    </row>
    <row r="29" spans="1:7" ht="45">
      <c r="A29" s="3" t="s">
        <v>114</v>
      </c>
      <c r="B29" s="3" t="s">
        <v>256</v>
      </c>
      <c r="C29" s="5" t="s">
        <v>257</v>
      </c>
      <c r="D29" s="3" t="s">
        <v>258</v>
      </c>
      <c r="E29" s="3" t="s">
        <v>21</v>
      </c>
      <c r="F29" s="3" t="s">
        <v>259</v>
      </c>
      <c r="G29" s="3" t="s">
        <v>172</v>
      </c>
    </row>
    <row r="30" spans="1:7" ht="45">
      <c r="A30" s="3" t="s">
        <v>117</v>
      </c>
      <c r="B30" s="3" t="s">
        <v>260</v>
      </c>
      <c r="C30" s="5" t="s">
        <v>261</v>
      </c>
      <c r="D30" s="3" t="s">
        <v>262</v>
      </c>
      <c r="E30" s="3" t="s">
        <v>84</v>
      </c>
      <c r="F30" s="4">
        <v>45176</v>
      </c>
      <c r="G30" s="3" t="s">
        <v>176</v>
      </c>
    </row>
    <row r="31" spans="1:7" ht="45">
      <c r="A31" s="3" t="s">
        <v>119</v>
      </c>
      <c r="B31" s="3" t="s">
        <v>263</v>
      </c>
      <c r="C31" s="5" t="s">
        <v>264</v>
      </c>
      <c r="D31" s="3" t="s">
        <v>265</v>
      </c>
      <c r="E31" s="3" t="s">
        <v>99</v>
      </c>
      <c r="F31" s="3" t="s">
        <v>266</v>
      </c>
      <c r="G31" s="3" t="s">
        <v>167</v>
      </c>
    </row>
    <row r="32" spans="1:7" ht="30">
      <c r="A32" s="3" t="s">
        <v>121</v>
      </c>
      <c r="B32" s="3" t="s">
        <v>267</v>
      </c>
      <c r="C32" s="5" t="s">
        <v>268</v>
      </c>
      <c r="D32" s="3" t="s">
        <v>269</v>
      </c>
      <c r="E32" s="3" t="s">
        <v>41</v>
      </c>
      <c r="F32" s="3" t="s">
        <v>270</v>
      </c>
      <c r="G32" s="3" t="s">
        <v>172</v>
      </c>
    </row>
    <row r="33" spans="1:7" ht="45">
      <c r="A33" s="3" t="s">
        <v>124</v>
      </c>
      <c r="B33" s="3" t="s">
        <v>271</v>
      </c>
      <c r="C33" s="5" t="s">
        <v>272</v>
      </c>
      <c r="D33" s="3" t="s">
        <v>273</v>
      </c>
      <c r="E33" s="3" t="s">
        <v>21</v>
      </c>
      <c r="F33" s="3" t="s">
        <v>274</v>
      </c>
      <c r="G33" s="3" t="s">
        <v>176</v>
      </c>
    </row>
    <row r="34" spans="1:7" ht="45">
      <c r="A34" s="3" t="s">
        <v>127</v>
      </c>
      <c r="B34" s="3" t="s">
        <v>275</v>
      </c>
      <c r="C34" s="5" t="s">
        <v>276</v>
      </c>
      <c r="D34" s="3" t="s">
        <v>277</v>
      </c>
      <c r="E34" s="3" t="s">
        <v>84</v>
      </c>
      <c r="F34" s="4">
        <v>45079</v>
      </c>
      <c r="G34" s="3" t="s">
        <v>167</v>
      </c>
    </row>
    <row r="35" spans="1:7" ht="45">
      <c r="A35" s="3" t="s">
        <v>129</v>
      </c>
      <c r="B35" s="3" t="s">
        <v>278</v>
      </c>
      <c r="C35" s="5" t="s">
        <v>279</v>
      </c>
      <c r="D35" s="3" t="s">
        <v>280</v>
      </c>
      <c r="E35" s="3" t="s">
        <v>99</v>
      </c>
      <c r="F35" s="3" t="s">
        <v>281</v>
      </c>
      <c r="G35" s="3" t="s">
        <v>172</v>
      </c>
    </row>
    <row r="36" spans="1:7" ht="30">
      <c r="A36" s="3" t="s">
        <v>132</v>
      </c>
      <c r="B36" s="3" t="s">
        <v>282</v>
      </c>
      <c r="C36" s="5" t="s">
        <v>283</v>
      </c>
      <c r="D36" s="3" t="s">
        <v>284</v>
      </c>
      <c r="E36" s="3" t="s">
        <v>41</v>
      </c>
      <c r="F36" s="4">
        <v>44748</v>
      </c>
      <c r="G36" s="3" t="s">
        <v>176</v>
      </c>
    </row>
    <row r="37" spans="1:7" ht="45">
      <c r="A37" s="3" t="s">
        <v>135</v>
      </c>
      <c r="B37" s="3" t="s">
        <v>285</v>
      </c>
      <c r="C37" s="5" t="s">
        <v>286</v>
      </c>
      <c r="D37" s="3" t="s">
        <v>287</v>
      </c>
      <c r="E37" s="3" t="s">
        <v>21</v>
      </c>
      <c r="F37" s="3" t="s">
        <v>288</v>
      </c>
      <c r="G37" s="3" t="s">
        <v>167</v>
      </c>
    </row>
  </sheetData>
  <hyperlinks>
    <hyperlink ref="C4" r:id="rId1" display="mailto:robert@email.com" xr:uid="{5FD55A1C-EFDD-4F76-8131-939FE4855700}"/>
    <hyperlink ref="C5" r:id="rId2" display="mailto:jennifer@email.com" xr:uid="{4DB5FA4E-B3A4-4188-8E0A-A32A2DCF62DF}"/>
    <hyperlink ref="C6" r:id="rId3" display="mailto:david@email.com" xr:uid="{F2521415-E074-4C5B-965C-A81C7D441AA6}"/>
    <hyperlink ref="C7" r:id="rId4" display="mailto:lisa@email.com" xr:uid="{B37F9B6F-D9A7-496E-B6AE-541FB743BD2C}"/>
    <hyperlink ref="C8" r:id="rId5" display="mailto:mark@email.com" xr:uid="{D281CFE7-0212-460C-8165-CA4FBD41A1C0}"/>
    <hyperlink ref="C9" r:id="rId6" display="mailto:amanda@email.com" xr:uid="{BF073BAD-856F-4FEC-B32F-BFE7EC29475A}"/>
    <hyperlink ref="C10" r:id="rId7" display="mailto:kevin@email.com" xr:uid="{2C217798-4997-4589-A545-F2A1838A110D}"/>
    <hyperlink ref="C11" r:id="rId8" display="mailto:rachel@email.com" xr:uid="{09C81BD0-1BFE-4F0F-8580-9F5B43E35141}"/>
    <hyperlink ref="C12" r:id="rId9" display="mailto:steven@email.com" xr:uid="{510C545C-2947-4B5E-ABA4-EAC1C71081B2}"/>
    <hyperlink ref="C13" r:id="rId10" display="mailto:michelle@email.com" xr:uid="{5E21F4A7-C582-4579-9B8E-2DE23CF73DCF}"/>
    <hyperlink ref="C14" r:id="rId11" display="mailto:chris@email.com" xr:uid="{DDE692AD-BFE4-4A87-A02C-16F33215BDB3}"/>
    <hyperlink ref="C15" r:id="rId12" display="mailto:ashley@email.com" xr:uid="{22AC0076-8B61-4951-B6CE-AC52C4FD9500}"/>
    <hyperlink ref="C16" r:id="rId13" display="mailto:matt@email.com" xr:uid="{9101CA48-FB06-48D7-B0A0-A798A27C180D}"/>
    <hyperlink ref="C17" r:id="rId14" display="mailto:steph@email.com" xr:uid="{B415B5CF-73ED-4328-880B-F2418533BECC}"/>
    <hyperlink ref="C18" r:id="rId15" display="mailto:daniel@email.com" xr:uid="{F6417CD1-E941-4E60-AF84-A6E99CC14CDF}"/>
    <hyperlink ref="C19" r:id="rId16" display="mailto:nicole@email.com" xr:uid="{ABA7F057-26EE-4B75-A176-A7D91258AC9E}"/>
    <hyperlink ref="C20" r:id="rId17" display="mailto:ryan@email.com" xr:uid="{9E84F9F4-5A7F-4E28-89EF-FFA96923FB53}"/>
    <hyperlink ref="C21" r:id="rId18" display="mailto:megan@email.com" xr:uid="{95040D08-0513-4F57-AE46-DF47EE9FD6CC}"/>
    <hyperlink ref="C22" r:id="rId19" display="mailto:brandon@email.com" xr:uid="{1124D33E-6623-4506-A117-4CE7BB332E5A}"/>
    <hyperlink ref="C23" r:id="rId20" display="mailto:sam@email.com" xr:uid="{08F44299-8487-45D6-ACC4-8AF75622AD92}"/>
    <hyperlink ref="C24" r:id="rId21" display="mailto:tyler@email.com" xr:uid="{3982E9A0-6227-473A-957B-11FE4204098D}"/>
    <hyperlink ref="C25" r:id="rId22" display="mailto:lauren@email.com" xr:uid="{511CDC75-7A88-4D76-97E7-3C6FC33900CE}"/>
    <hyperlink ref="C26" r:id="rId23" display="mailto:justin@email.com" xr:uid="{C7D14C0B-94C5-423B-8CE4-AD52765F5E87}"/>
    <hyperlink ref="C27" r:id="rId24" display="mailto:brittany@email.com" xr:uid="{EDF43C3E-9417-47A7-AD28-1CED8D5E050B}"/>
    <hyperlink ref="C28" r:id="rId25" display="mailto:aaron@email.com" xr:uid="{4238B918-2FFD-40A6-90B7-A5C343BA485B}"/>
    <hyperlink ref="C29" r:id="rId26" display="mailto:heather@email.com" xr:uid="{264B6E10-4912-4E0C-BFC8-68E173F19F0B}"/>
    <hyperlink ref="C30" r:id="rId27" display="mailto:patrick@email.com" xr:uid="{0E305A2B-CA15-435A-9F1C-BDFEB172D007}"/>
    <hyperlink ref="C31" r:id="rId28" display="mailto:courtney@email.com" xr:uid="{53E9A85B-1695-4E9C-AA4D-19DEE7E51B81}"/>
    <hyperlink ref="C32" r:id="rId29" display="mailto:sean@email.com" xr:uid="{4BE75428-309A-4428-8178-F2BB360EE6D8}"/>
    <hyperlink ref="C33" r:id="rId30" display="mailto:amber@email.com" xr:uid="{2E359B8B-EA30-4D55-BC61-37AA0CC11BEE}"/>
    <hyperlink ref="C34" r:id="rId31" display="mailto:jeremy@email.com" xr:uid="{012BDA8B-5B8D-4BC1-9A18-6574BA282B71}"/>
    <hyperlink ref="C35" r:id="rId32" display="mailto:vanessa@email.com" xr:uid="{FFED0DBA-5921-461E-9F52-87ADC945EA86}"/>
    <hyperlink ref="C36" r:id="rId33" display="mailto:travis@email.com" xr:uid="{898571BC-7538-46DB-B8F9-45DF8EE5C8E2}"/>
    <hyperlink ref="C37" r:id="rId34" display="mailto:cassandra@email.com" xr:uid="{D606AB90-E30F-4599-8FB4-26B917ECDE79}"/>
  </hyperlinks>
  <pageMargins left="0.7" right="0.7" top="0.75" bottom="0.75" header="0.3" footer="0.3"/>
  <tableParts count="1">
    <tablePart r:id="rId3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5C72-689C-48B3-A010-05BDF62E893B}">
  <dimension ref="A1:J37"/>
  <sheetViews>
    <sheetView workbookViewId="0">
      <selection activeCell="L5" sqref="L5"/>
    </sheetView>
  </sheetViews>
  <sheetFormatPr defaultRowHeight="15"/>
  <cols>
    <col min="1" max="1" width="18.42578125" bestFit="1" customWidth="1"/>
    <col min="2" max="2" width="14.28515625" bestFit="1" customWidth="1"/>
    <col min="3" max="3" width="15.85546875" bestFit="1" customWidth="1"/>
    <col min="4" max="4" width="10.7109375" bestFit="1" customWidth="1"/>
    <col min="5" max="5" width="9.5703125" bestFit="1" customWidth="1"/>
    <col min="6" max="6" width="11" bestFit="1" customWidth="1"/>
    <col min="7" max="7" width="11.140625" bestFit="1" customWidth="1"/>
    <col min="8" max="8" width="17.42578125" bestFit="1" customWidth="1"/>
    <col min="9" max="9" width="12.7109375" bestFit="1" customWidth="1"/>
    <col min="10" max="10" width="8.28515625" bestFit="1" customWidth="1"/>
    <col min="11" max="11" width="11" bestFit="1" customWidth="1"/>
    <col min="12" max="12" width="12" bestFit="1" customWidth="1"/>
    <col min="13" max="13" width="11.140625" bestFit="1" customWidth="1"/>
    <col min="14" max="14" width="18.85546875" bestFit="1" customWidth="1"/>
    <col min="15" max="15" width="22.140625" bestFit="1" customWidth="1"/>
    <col min="16" max="16" width="17.42578125" bestFit="1" customWidth="1"/>
    <col min="17" max="17" width="12.7109375" bestFit="1" customWidth="1"/>
    <col min="18" max="18" width="8.85546875" bestFit="1" customWidth="1"/>
    <col min="19" max="19" width="12" bestFit="1" customWidth="1"/>
    <col min="20" max="20" width="16.28515625" bestFit="1" customWidth="1"/>
    <col min="21" max="21" width="13.42578125" bestFit="1" customWidth="1"/>
  </cols>
  <sheetData>
    <row r="1" spans="1:10">
      <c r="A1" t="s">
        <v>158</v>
      </c>
      <c r="B1" t="s">
        <v>2</v>
      </c>
      <c r="C1" t="s">
        <v>0</v>
      </c>
      <c r="D1" t="s">
        <v>1</v>
      </c>
      <c r="E1" t="s">
        <v>5</v>
      </c>
      <c r="F1" t="s">
        <v>6</v>
      </c>
      <c r="G1" t="s">
        <v>8</v>
      </c>
      <c r="H1" t="s">
        <v>136</v>
      </c>
      <c r="I1" t="s">
        <v>137</v>
      </c>
      <c r="J1" t="s">
        <v>325</v>
      </c>
    </row>
    <row r="2" spans="1:10">
      <c r="A2" t="s">
        <v>163</v>
      </c>
      <c r="B2" t="s">
        <v>25</v>
      </c>
      <c r="C2" t="s">
        <v>10</v>
      </c>
      <c r="D2" s="6">
        <v>45339</v>
      </c>
      <c r="E2" t="s">
        <v>41</v>
      </c>
      <c r="F2">
        <v>2</v>
      </c>
      <c r="G2">
        <v>1799.98</v>
      </c>
      <c r="H2" t="s">
        <v>140</v>
      </c>
      <c r="I2" t="s">
        <v>141</v>
      </c>
      <c r="J2">
        <v>2299.96</v>
      </c>
    </row>
    <row r="3" spans="1:10">
      <c r="A3" t="s">
        <v>163</v>
      </c>
      <c r="B3" t="s">
        <v>323</v>
      </c>
      <c r="C3" t="s">
        <v>36</v>
      </c>
      <c r="D3" s="6">
        <v>45310</v>
      </c>
      <c r="E3" t="s">
        <v>21</v>
      </c>
      <c r="F3">
        <v>1</v>
      </c>
      <c r="G3">
        <v>899.99</v>
      </c>
      <c r="H3" t="s">
        <v>140</v>
      </c>
      <c r="I3" t="s">
        <v>141</v>
      </c>
      <c r="J3">
        <v>249.99</v>
      </c>
    </row>
    <row r="4" spans="1:10">
      <c r="A4" t="s">
        <v>163</v>
      </c>
      <c r="B4" t="s">
        <v>25</v>
      </c>
      <c r="C4" t="s">
        <v>10</v>
      </c>
      <c r="D4" s="6">
        <v>45339</v>
      </c>
      <c r="E4" t="s">
        <v>41</v>
      </c>
      <c r="F4">
        <v>2</v>
      </c>
      <c r="G4">
        <v>1799.98</v>
      </c>
      <c r="H4" t="s">
        <v>140</v>
      </c>
      <c r="I4" t="s">
        <v>141</v>
      </c>
      <c r="J4">
        <v>2299.96</v>
      </c>
    </row>
    <row r="5" spans="1:10">
      <c r="A5" t="s">
        <v>168</v>
      </c>
      <c r="B5" t="s">
        <v>323</v>
      </c>
      <c r="C5" t="s">
        <v>17</v>
      </c>
      <c r="D5" s="6">
        <v>45307</v>
      </c>
      <c r="E5" t="s">
        <v>21</v>
      </c>
      <c r="F5">
        <v>1</v>
      </c>
      <c r="G5">
        <v>1299.99</v>
      </c>
      <c r="H5" t="s">
        <v>143</v>
      </c>
      <c r="I5" t="s">
        <v>144</v>
      </c>
      <c r="J5">
        <v>349.99</v>
      </c>
    </row>
    <row r="6" spans="1:10">
      <c r="A6" t="s">
        <v>173</v>
      </c>
      <c r="B6" t="s">
        <v>25</v>
      </c>
      <c r="C6" t="s">
        <v>23</v>
      </c>
      <c r="D6" s="6">
        <v>45308</v>
      </c>
      <c r="E6" t="s">
        <v>41</v>
      </c>
      <c r="F6">
        <v>3</v>
      </c>
      <c r="G6">
        <v>1499.97</v>
      </c>
      <c r="H6" t="s">
        <v>145</v>
      </c>
      <c r="I6" t="s">
        <v>146</v>
      </c>
      <c r="J6">
        <v>3539.91</v>
      </c>
    </row>
    <row r="7" spans="1:10">
      <c r="A7" t="s">
        <v>179</v>
      </c>
      <c r="B7" t="s">
        <v>25</v>
      </c>
      <c r="C7" t="s">
        <v>38</v>
      </c>
      <c r="D7" s="6">
        <v>45311</v>
      </c>
      <c r="E7" t="s">
        <v>41</v>
      </c>
      <c r="F7">
        <v>2</v>
      </c>
      <c r="G7">
        <v>2599.98</v>
      </c>
      <c r="H7" t="s">
        <v>143</v>
      </c>
      <c r="I7" t="s">
        <v>144</v>
      </c>
      <c r="J7">
        <v>3299.96</v>
      </c>
    </row>
    <row r="8" spans="1:10">
      <c r="A8" t="s">
        <v>177</v>
      </c>
      <c r="B8" t="s">
        <v>67</v>
      </c>
      <c r="C8" t="s">
        <v>30</v>
      </c>
      <c r="D8" s="6">
        <v>45339</v>
      </c>
      <c r="E8" t="s">
        <v>84</v>
      </c>
      <c r="F8">
        <v>2</v>
      </c>
      <c r="G8">
        <v>399.98</v>
      </c>
      <c r="H8" t="s">
        <v>148</v>
      </c>
      <c r="I8" t="s">
        <v>149</v>
      </c>
      <c r="J8">
        <v>559.96</v>
      </c>
    </row>
    <row r="9" spans="1:10">
      <c r="A9" t="s">
        <v>187</v>
      </c>
      <c r="B9" t="s">
        <v>324</v>
      </c>
      <c r="C9" t="s">
        <v>48</v>
      </c>
      <c r="D9" s="6">
        <v>45313</v>
      </c>
      <c r="E9" t="s">
        <v>99</v>
      </c>
      <c r="F9">
        <v>2</v>
      </c>
      <c r="G9">
        <v>999.98</v>
      </c>
      <c r="H9" t="s">
        <v>145</v>
      </c>
      <c r="I9" t="s">
        <v>146</v>
      </c>
      <c r="J9">
        <v>1359.96</v>
      </c>
    </row>
    <row r="10" spans="1:10">
      <c r="A10" t="s">
        <v>183</v>
      </c>
      <c r="B10" t="s">
        <v>67</v>
      </c>
      <c r="C10" t="s">
        <v>42</v>
      </c>
      <c r="D10" s="6">
        <v>45339</v>
      </c>
      <c r="E10" t="s">
        <v>84</v>
      </c>
      <c r="F10">
        <v>2</v>
      </c>
      <c r="G10">
        <v>699.98</v>
      </c>
      <c r="H10" t="s">
        <v>150</v>
      </c>
      <c r="I10" t="s">
        <v>151</v>
      </c>
      <c r="J10">
        <v>839.96</v>
      </c>
    </row>
    <row r="11" spans="1:10">
      <c r="A11" t="s">
        <v>191</v>
      </c>
      <c r="B11" t="s">
        <v>324</v>
      </c>
      <c r="C11" t="s">
        <v>53</v>
      </c>
      <c r="D11" s="6">
        <v>45314</v>
      </c>
      <c r="E11" t="s">
        <v>99</v>
      </c>
      <c r="F11">
        <v>1</v>
      </c>
      <c r="G11">
        <v>199.99</v>
      </c>
      <c r="H11" t="s">
        <v>148</v>
      </c>
      <c r="I11" t="s">
        <v>149</v>
      </c>
      <c r="J11">
        <v>79.989999999999995</v>
      </c>
    </row>
    <row r="12" spans="1:10">
      <c r="A12" t="s">
        <v>195</v>
      </c>
      <c r="B12" t="s">
        <v>25</v>
      </c>
      <c r="C12" t="s">
        <v>58</v>
      </c>
      <c r="D12" s="6">
        <v>45339</v>
      </c>
      <c r="E12" t="s">
        <v>41</v>
      </c>
      <c r="F12">
        <v>3</v>
      </c>
      <c r="G12">
        <v>2249.9699999999998</v>
      </c>
      <c r="H12" t="s">
        <v>152</v>
      </c>
      <c r="I12" t="s">
        <v>153</v>
      </c>
      <c r="J12">
        <v>5399.91</v>
      </c>
    </row>
    <row r="13" spans="1:10">
      <c r="A13" t="s">
        <v>197</v>
      </c>
      <c r="B13" t="s">
        <v>323</v>
      </c>
      <c r="C13" t="s">
        <v>62</v>
      </c>
      <c r="D13" s="6">
        <v>45339</v>
      </c>
      <c r="E13" t="s">
        <v>21</v>
      </c>
      <c r="F13">
        <v>2</v>
      </c>
      <c r="G13">
        <v>1799.98</v>
      </c>
      <c r="H13" t="s">
        <v>140</v>
      </c>
      <c r="I13" t="s">
        <v>141</v>
      </c>
      <c r="J13">
        <v>2299.96</v>
      </c>
    </row>
    <row r="14" spans="1:10">
      <c r="A14" t="s">
        <v>201</v>
      </c>
      <c r="B14" t="s">
        <v>67</v>
      </c>
      <c r="C14" t="s">
        <v>66</v>
      </c>
      <c r="D14" s="6">
        <v>45317</v>
      </c>
      <c r="E14" t="s">
        <v>84</v>
      </c>
      <c r="F14">
        <v>1</v>
      </c>
      <c r="G14">
        <v>999.99</v>
      </c>
      <c r="H14" t="s">
        <v>155</v>
      </c>
      <c r="I14" t="s">
        <v>144</v>
      </c>
      <c r="J14">
        <v>219.99</v>
      </c>
    </row>
    <row r="15" spans="1:10">
      <c r="A15" t="s">
        <v>205</v>
      </c>
      <c r="B15" t="s">
        <v>324</v>
      </c>
      <c r="C15" t="s">
        <v>70</v>
      </c>
      <c r="D15" s="6">
        <v>45318</v>
      </c>
      <c r="E15" t="s">
        <v>99</v>
      </c>
      <c r="F15">
        <v>1</v>
      </c>
      <c r="G15">
        <v>1299.99</v>
      </c>
      <c r="H15" t="s">
        <v>143</v>
      </c>
      <c r="I15" t="s">
        <v>144</v>
      </c>
      <c r="J15">
        <v>349.99</v>
      </c>
    </row>
    <row r="16" spans="1:10">
      <c r="A16" t="s">
        <v>208</v>
      </c>
      <c r="B16" t="s">
        <v>25</v>
      </c>
      <c r="C16" t="s">
        <v>73</v>
      </c>
      <c r="D16" s="6">
        <v>45339</v>
      </c>
      <c r="E16" t="s">
        <v>41</v>
      </c>
      <c r="F16">
        <v>2</v>
      </c>
      <c r="G16">
        <v>699.98</v>
      </c>
      <c r="H16" t="s">
        <v>150</v>
      </c>
      <c r="I16" t="s">
        <v>151</v>
      </c>
      <c r="J16">
        <v>839.96</v>
      </c>
    </row>
    <row r="17" spans="1:10">
      <c r="A17" t="s">
        <v>212</v>
      </c>
      <c r="B17" t="s">
        <v>323</v>
      </c>
      <c r="C17" t="s">
        <v>78</v>
      </c>
      <c r="D17" s="6">
        <v>45320</v>
      </c>
      <c r="E17" t="s">
        <v>21</v>
      </c>
      <c r="F17">
        <v>3</v>
      </c>
      <c r="G17">
        <v>1499.97</v>
      </c>
      <c r="H17" t="s">
        <v>145</v>
      </c>
      <c r="I17" t="s">
        <v>146</v>
      </c>
      <c r="J17">
        <v>3539.91</v>
      </c>
    </row>
    <row r="18" spans="1:10">
      <c r="A18" t="s">
        <v>216</v>
      </c>
      <c r="B18" t="s">
        <v>67</v>
      </c>
      <c r="C18" t="s">
        <v>81</v>
      </c>
      <c r="D18" s="6">
        <v>45321</v>
      </c>
      <c r="E18" t="s">
        <v>84</v>
      </c>
      <c r="F18">
        <v>1</v>
      </c>
      <c r="G18">
        <v>749.99</v>
      </c>
      <c r="H18" t="s">
        <v>152</v>
      </c>
      <c r="I18" t="s">
        <v>153</v>
      </c>
      <c r="J18">
        <v>299.99</v>
      </c>
    </row>
    <row r="19" spans="1:10">
      <c r="A19" t="s">
        <v>220</v>
      </c>
      <c r="B19" t="s">
        <v>324</v>
      </c>
      <c r="C19" t="s">
        <v>85</v>
      </c>
      <c r="D19" s="6">
        <v>45339</v>
      </c>
      <c r="E19" t="s">
        <v>99</v>
      </c>
      <c r="F19">
        <v>2</v>
      </c>
      <c r="G19">
        <v>1999.98</v>
      </c>
      <c r="H19" t="s">
        <v>155</v>
      </c>
      <c r="I19" t="s">
        <v>144</v>
      </c>
      <c r="J19">
        <v>2439.96</v>
      </c>
    </row>
    <row r="20" spans="1:10">
      <c r="A20" t="s">
        <v>224</v>
      </c>
      <c r="B20" t="s">
        <v>25</v>
      </c>
      <c r="C20" t="s">
        <v>88</v>
      </c>
      <c r="D20" s="6">
        <v>45323</v>
      </c>
      <c r="E20" t="s">
        <v>41</v>
      </c>
      <c r="F20">
        <v>2</v>
      </c>
      <c r="G20">
        <v>1799.98</v>
      </c>
      <c r="H20" t="s">
        <v>140</v>
      </c>
      <c r="I20" t="s">
        <v>141</v>
      </c>
      <c r="J20">
        <v>2299.96</v>
      </c>
    </row>
    <row r="21" spans="1:10">
      <c r="A21" t="s">
        <v>227</v>
      </c>
      <c r="B21" t="s">
        <v>323</v>
      </c>
      <c r="C21" t="s">
        <v>90</v>
      </c>
      <c r="D21" s="6">
        <v>45324</v>
      </c>
      <c r="E21" t="s">
        <v>21</v>
      </c>
      <c r="F21">
        <v>1</v>
      </c>
      <c r="G21">
        <v>199.99</v>
      </c>
      <c r="H21" t="s">
        <v>148</v>
      </c>
      <c r="I21" t="s">
        <v>149</v>
      </c>
      <c r="J21">
        <v>79.989999999999995</v>
      </c>
    </row>
    <row r="22" spans="1:10">
      <c r="A22" t="s">
        <v>230</v>
      </c>
      <c r="B22" t="s">
        <v>67</v>
      </c>
      <c r="C22" t="s">
        <v>95</v>
      </c>
      <c r="D22" s="6">
        <v>45353</v>
      </c>
      <c r="E22" t="s">
        <v>84</v>
      </c>
      <c r="F22">
        <v>2</v>
      </c>
      <c r="G22">
        <v>2599.98</v>
      </c>
      <c r="H22" t="s">
        <v>143</v>
      </c>
      <c r="I22" t="s">
        <v>144</v>
      </c>
      <c r="J22">
        <v>3299.96</v>
      </c>
    </row>
    <row r="23" spans="1:10">
      <c r="A23" t="s">
        <v>234</v>
      </c>
      <c r="B23" t="s">
        <v>324</v>
      </c>
      <c r="C23" t="s">
        <v>97</v>
      </c>
      <c r="D23" s="6">
        <v>45326</v>
      </c>
      <c r="E23" t="s">
        <v>99</v>
      </c>
      <c r="F23">
        <v>3</v>
      </c>
      <c r="G23">
        <v>1499.97</v>
      </c>
      <c r="H23" t="s">
        <v>145</v>
      </c>
      <c r="I23" t="s">
        <v>146</v>
      </c>
      <c r="J23">
        <v>3539.91</v>
      </c>
    </row>
    <row r="24" spans="1:10">
      <c r="A24" t="s">
        <v>237</v>
      </c>
      <c r="B24" t="s">
        <v>25</v>
      </c>
      <c r="C24" t="s">
        <v>100</v>
      </c>
      <c r="D24" s="6">
        <v>45327</v>
      </c>
      <c r="E24" t="s">
        <v>41</v>
      </c>
      <c r="F24">
        <v>1</v>
      </c>
      <c r="G24">
        <v>349.99</v>
      </c>
      <c r="H24" t="s">
        <v>150</v>
      </c>
      <c r="I24" t="s">
        <v>151</v>
      </c>
      <c r="J24">
        <v>69.989999999999995</v>
      </c>
    </row>
    <row r="25" spans="1:10">
      <c r="A25" t="s">
        <v>241</v>
      </c>
      <c r="B25" t="s">
        <v>323</v>
      </c>
      <c r="C25" t="s">
        <v>103</v>
      </c>
      <c r="D25" s="6">
        <v>45445</v>
      </c>
      <c r="E25" t="s">
        <v>21</v>
      </c>
      <c r="F25">
        <v>2</v>
      </c>
      <c r="G25">
        <v>1499.98</v>
      </c>
      <c r="H25" t="s">
        <v>152</v>
      </c>
      <c r="I25" t="s">
        <v>153</v>
      </c>
      <c r="J25">
        <v>2099.96</v>
      </c>
    </row>
    <row r="26" spans="1:10">
      <c r="A26" t="s">
        <v>245</v>
      </c>
      <c r="B26" t="s">
        <v>67</v>
      </c>
      <c r="C26" t="s">
        <v>105</v>
      </c>
      <c r="D26" s="6">
        <v>45329</v>
      </c>
      <c r="E26" t="s">
        <v>84</v>
      </c>
      <c r="F26">
        <v>2</v>
      </c>
      <c r="G26">
        <v>1999.98</v>
      </c>
      <c r="H26" t="s">
        <v>155</v>
      </c>
      <c r="I26" t="s">
        <v>144</v>
      </c>
      <c r="J26">
        <v>2439.96</v>
      </c>
    </row>
    <row r="27" spans="1:10">
      <c r="A27" t="s">
        <v>249</v>
      </c>
      <c r="B27" t="s">
        <v>324</v>
      </c>
      <c r="C27" t="s">
        <v>107</v>
      </c>
      <c r="D27" s="6">
        <v>45330</v>
      </c>
      <c r="E27" t="s">
        <v>99</v>
      </c>
      <c r="F27">
        <v>2</v>
      </c>
      <c r="G27">
        <v>1799.98</v>
      </c>
      <c r="H27" t="s">
        <v>140</v>
      </c>
      <c r="I27" t="s">
        <v>141</v>
      </c>
      <c r="J27">
        <v>2299.96</v>
      </c>
    </row>
    <row r="28" spans="1:10">
      <c r="A28" t="s">
        <v>253</v>
      </c>
      <c r="B28" t="s">
        <v>25</v>
      </c>
      <c r="C28" t="s">
        <v>110</v>
      </c>
      <c r="D28" s="6">
        <v>45537</v>
      </c>
      <c r="E28" t="s">
        <v>41</v>
      </c>
      <c r="F28">
        <v>1</v>
      </c>
      <c r="G28">
        <v>1299.99</v>
      </c>
      <c r="H28" t="s">
        <v>143</v>
      </c>
      <c r="I28" t="s">
        <v>144</v>
      </c>
      <c r="J28">
        <v>349.99</v>
      </c>
    </row>
    <row r="29" spans="1:10">
      <c r="A29" t="s">
        <v>256</v>
      </c>
      <c r="B29" t="s">
        <v>323</v>
      </c>
      <c r="C29" t="s">
        <v>113</v>
      </c>
      <c r="D29" s="6">
        <v>45332</v>
      </c>
      <c r="E29" t="s">
        <v>21</v>
      </c>
      <c r="F29">
        <v>3</v>
      </c>
      <c r="G29">
        <v>1499.97</v>
      </c>
      <c r="H29" t="s">
        <v>145</v>
      </c>
      <c r="I29" t="s">
        <v>146</v>
      </c>
      <c r="J29">
        <v>3539.91</v>
      </c>
    </row>
    <row r="30" spans="1:10">
      <c r="A30" t="s">
        <v>260</v>
      </c>
      <c r="B30" t="s">
        <v>67</v>
      </c>
      <c r="C30" t="s">
        <v>115</v>
      </c>
      <c r="D30" s="6">
        <v>45333</v>
      </c>
      <c r="E30" t="s">
        <v>84</v>
      </c>
      <c r="F30">
        <v>2</v>
      </c>
      <c r="G30">
        <v>399.98</v>
      </c>
      <c r="H30" t="s">
        <v>148</v>
      </c>
      <c r="I30" t="s">
        <v>149</v>
      </c>
      <c r="J30">
        <v>559.96</v>
      </c>
    </row>
    <row r="31" spans="1:10">
      <c r="A31" t="s">
        <v>263</v>
      </c>
      <c r="B31" t="s">
        <v>324</v>
      </c>
      <c r="C31" t="s">
        <v>118</v>
      </c>
      <c r="D31" s="6">
        <v>45628</v>
      </c>
      <c r="E31" t="s">
        <v>99</v>
      </c>
      <c r="F31">
        <v>1</v>
      </c>
      <c r="G31">
        <v>349.99</v>
      </c>
      <c r="H31" t="s">
        <v>150</v>
      </c>
      <c r="I31" t="s">
        <v>151</v>
      </c>
      <c r="J31">
        <v>69.989999999999995</v>
      </c>
    </row>
    <row r="32" spans="1:10">
      <c r="A32" t="s">
        <v>267</v>
      </c>
      <c r="B32" t="s">
        <v>25</v>
      </c>
      <c r="C32" t="s">
        <v>120</v>
      </c>
      <c r="D32" s="6">
        <v>45335</v>
      </c>
      <c r="E32" t="s">
        <v>41</v>
      </c>
      <c r="F32">
        <v>1</v>
      </c>
      <c r="G32">
        <v>749.99</v>
      </c>
      <c r="H32" t="s">
        <v>152</v>
      </c>
      <c r="I32" t="s">
        <v>153</v>
      </c>
      <c r="J32">
        <v>299.99</v>
      </c>
    </row>
    <row r="33" spans="1:10">
      <c r="A33" t="s">
        <v>271</v>
      </c>
      <c r="B33" t="s">
        <v>323</v>
      </c>
      <c r="C33" t="s">
        <v>122</v>
      </c>
      <c r="D33" s="6">
        <v>45336</v>
      </c>
      <c r="E33" t="s">
        <v>21</v>
      </c>
      <c r="F33">
        <v>2</v>
      </c>
      <c r="G33">
        <v>1999.98</v>
      </c>
      <c r="H33" t="s">
        <v>155</v>
      </c>
      <c r="I33" t="s">
        <v>144</v>
      </c>
      <c r="J33">
        <v>2439.96</v>
      </c>
    </row>
    <row r="34" spans="1:10">
      <c r="A34" t="s">
        <v>275</v>
      </c>
      <c r="B34" t="s">
        <v>67</v>
      </c>
      <c r="C34" t="s">
        <v>125</v>
      </c>
      <c r="D34" s="6">
        <v>45339</v>
      </c>
      <c r="E34" t="s">
        <v>84</v>
      </c>
      <c r="F34">
        <v>3</v>
      </c>
      <c r="G34">
        <v>2699.97</v>
      </c>
      <c r="H34" t="s">
        <v>140</v>
      </c>
      <c r="I34" t="s">
        <v>141</v>
      </c>
      <c r="J34">
        <v>6149.91</v>
      </c>
    </row>
    <row r="35" spans="1:10">
      <c r="A35" t="s">
        <v>278</v>
      </c>
      <c r="B35" t="s">
        <v>324</v>
      </c>
      <c r="C35" t="s">
        <v>128</v>
      </c>
      <c r="D35" s="6">
        <v>45338</v>
      </c>
      <c r="E35" t="s">
        <v>99</v>
      </c>
      <c r="F35">
        <v>1</v>
      </c>
      <c r="G35">
        <v>1299.99</v>
      </c>
      <c r="H35" t="s">
        <v>143</v>
      </c>
      <c r="I35" t="s">
        <v>144</v>
      </c>
      <c r="J35">
        <v>349.99</v>
      </c>
    </row>
    <row r="36" spans="1:10">
      <c r="A36" t="s">
        <v>282</v>
      </c>
      <c r="B36" t="s">
        <v>25</v>
      </c>
      <c r="C36" t="s">
        <v>130</v>
      </c>
      <c r="D36" s="6">
        <v>45339</v>
      </c>
      <c r="E36" t="s">
        <v>41</v>
      </c>
      <c r="F36">
        <v>2</v>
      </c>
      <c r="G36">
        <v>999.98</v>
      </c>
      <c r="H36" t="s">
        <v>145</v>
      </c>
      <c r="I36" t="s">
        <v>146</v>
      </c>
      <c r="J36">
        <v>1359.96</v>
      </c>
    </row>
    <row r="37" spans="1:10">
      <c r="A37" t="s">
        <v>285</v>
      </c>
      <c r="B37" t="s">
        <v>323</v>
      </c>
      <c r="C37" t="s">
        <v>133</v>
      </c>
      <c r="D37" s="6">
        <v>45339</v>
      </c>
      <c r="E37" t="s">
        <v>21</v>
      </c>
      <c r="F37">
        <v>1</v>
      </c>
      <c r="G37">
        <v>199.99</v>
      </c>
      <c r="H37" t="s">
        <v>148</v>
      </c>
      <c r="I37" t="s">
        <v>149</v>
      </c>
      <c r="J37">
        <v>79.989999999999995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0670-51CC-445D-8D83-3F8C73375E0F}">
  <dimension ref="A1:G5"/>
  <sheetViews>
    <sheetView workbookViewId="0">
      <selection activeCell="D7" sqref="D7"/>
    </sheetView>
  </sheetViews>
  <sheetFormatPr defaultRowHeight="15"/>
  <cols>
    <col min="1" max="1" width="9.5703125" bestFit="1" customWidth="1"/>
    <col min="2" max="2" width="15" bestFit="1" customWidth="1"/>
    <col min="3" max="3" width="10.140625" bestFit="1" customWidth="1"/>
    <col min="4" max="4" width="12.42578125" bestFit="1" customWidth="1"/>
    <col min="5" max="5" width="13.5703125" bestFit="1" customWidth="1"/>
    <col min="6" max="6" width="9.7109375" bestFit="1" customWidth="1"/>
    <col min="7" max="7" width="10.140625" bestFit="1" customWidth="1"/>
  </cols>
  <sheetData>
    <row r="1" spans="1:7">
      <c r="A1" t="s">
        <v>5</v>
      </c>
      <c r="B1" t="s">
        <v>141</v>
      </c>
      <c r="C1" t="s">
        <v>144</v>
      </c>
      <c r="D1" t="s">
        <v>146</v>
      </c>
      <c r="E1" t="s">
        <v>149</v>
      </c>
      <c r="F1" t="s">
        <v>151</v>
      </c>
      <c r="G1" t="s">
        <v>153</v>
      </c>
    </row>
    <row r="2" spans="1:7">
      <c r="A2" s="7" t="s">
        <v>41</v>
      </c>
      <c r="B2">
        <v>1799.98</v>
      </c>
      <c r="C2">
        <v>3899.97</v>
      </c>
      <c r="D2">
        <v>2499.9499999999998</v>
      </c>
      <c r="E2">
        <v>199.99</v>
      </c>
      <c r="F2">
        <v>1049.97</v>
      </c>
      <c r="G2">
        <v>2999.96</v>
      </c>
    </row>
    <row r="3" spans="1:7">
      <c r="A3" s="7" t="s">
        <v>99</v>
      </c>
      <c r="B3">
        <v>1799.98</v>
      </c>
      <c r="C3">
        <v>3299.97</v>
      </c>
      <c r="D3">
        <v>2499.9499999999998</v>
      </c>
      <c r="E3">
        <v>199.99</v>
      </c>
      <c r="F3">
        <v>349.99</v>
      </c>
      <c r="G3">
        <v>2999.96</v>
      </c>
    </row>
    <row r="4" spans="1:7">
      <c r="A4" s="7" t="s">
        <v>84</v>
      </c>
      <c r="B4">
        <v>2699.97</v>
      </c>
      <c r="C4">
        <v>5599.95</v>
      </c>
      <c r="D4">
        <v>2499.9499999999998</v>
      </c>
      <c r="E4">
        <v>399.98</v>
      </c>
      <c r="F4">
        <v>699.98</v>
      </c>
      <c r="G4">
        <v>749.99</v>
      </c>
    </row>
    <row r="5" spans="1:7">
      <c r="A5" s="7" t="s">
        <v>21</v>
      </c>
      <c r="B5">
        <v>2699.97</v>
      </c>
      <c r="C5">
        <v>3299.97</v>
      </c>
      <c r="D5">
        <v>1499.97</v>
      </c>
      <c r="E5">
        <v>199.99</v>
      </c>
      <c r="F5">
        <v>699.98</v>
      </c>
      <c r="G5">
        <v>1499.98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70BB-51B9-4E15-8D8C-BFA68B8EDD76}">
  <dimension ref="A1:H2"/>
  <sheetViews>
    <sheetView workbookViewId="0">
      <selection activeCell="E23" sqref="E23"/>
    </sheetView>
  </sheetViews>
  <sheetFormatPr defaultRowHeight="15"/>
  <cols>
    <col min="1" max="1" width="16" customWidth="1"/>
    <col min="2" max="2" width="10.140625" customWidth="1"/>
    <col min="3" max="3" width="13" customWidth="1"/>
    <col min="4" max="4" width="18" customWidth="1"/>
    <col min="5" max="5" width="15.7109375" customWidth="1"/>
    <col min="7" max="7" width="10.85546875" customWidth="1"/>
    <col min="8" max="8" width="18.5703125" customWidth="1"/>
  </cols>
  <sheetData>
    <row r="1" spans="1:8">
      <c r="A1" t="s">
        <v>326</v>
      </c>
      <c r="B1" t="s">
        <v>1</v>
      </c>
      <c r="C1" t="s">
        <v>327</v>
      </c>
      <c r="D1" t="s">
        <v>328</v>
      </c>
      <c r="E1" t="s">
        <v>136</v>
      </c>
      <c r="F1" t="s">
        <v>329</v>
      </c>
      <c r="G1" t="s">
        <v>6</v>
      </c>
      <c r="H1" t="s">
        <v>9</v>
      </c>
    </row>
    <row r="2" spans="1:8">
      <c r="A2" t="s">
        <v>330</v>
      </c>
    </row>
  </sheetData>
  <dataValidations count="3">
    <dataValidation type="list" allowBlank="1" showInputMessage="1" showErrorMessage="1" sqref="F1:F1048576" xr:uid="{9FC17548-00D5-4C58-86FB-35D45C6F5BCC}">
      <formula1>"California,Texas,New York,Florida"</formula1>
    </dataValidation>
    <dataValidation type="list" allowBlank="1" showInputMessage="1" showErrorMessage="1" sqref="H1:H1048576" xr:uid="{6DBB19B8-9321-4D43-AFF1-2261A9523324}">
      <formula1>"Credit Card,Cash,Debit Card"</formula1>
    </dataValidation>
    <dataValidation type="list" allowBlank="1" showInputMessage="1" showErrorMessage="1" sqref="C1:C1048576" xr:uid="{400449C3-5709-4E0E-9650-792C0FD072A3}">
      <formula1>"James Wilson,Sarah Johnson,Michael Brown,Emily Davis"</formula1>
    </dataValidation>
  </dataValidations>
  <pageMargins left="0.7" right="0.7" top="0.75" bottom="0.75" header="0.3" footer="0.3"/>
  <ignoredErrors>
    <ignoredError sqref="F1 C1" listDataValidatio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608A-EDB3-49A1-8ED4-5B7F7CD7183E}">
  <dimension ref="A1:H7"/>
  <sheetViews>
    <sheetView tabSelected="1" zoomScale="95" zoomScaleNormal="95" workbookViewId="0">
      <selection activeCell="T7" sqref="T7"/>
    </sheetView>
  </sheetViews>
  <sheetFormatPr defaultRowHeight="15"/>
  <cols>
    <col min="1" max="1" width="31.28515625" customWidth="1"/>
    <col min="2" max="2" width="24.85546875" customWidth="1"/>
  </cols>
  <sheetData>
    <row r="1" spans="1:8">
      <c r="A1" s="2" t="s">
        <v>337</v>
      </c>
      <c r="B1" s="2" t="s">
        <v>338</v>
      </c>
    </row>
    <row r="2" spans="1:8">
      <c r="A2" s="9" t="s">
        <v>331</v>
      </c>
      <c r="B2" s="11">
        <f>SUM(Master_Sales_Table[Revenue])</f>
        <v>46749.350000000013</v>
      </c>
    </row>
    <row r="3" spans="1:8">
      <c r="A3" s="9" t="s">
        <v>332</v>
      </c>
      <c r="B3" s="11">
        <f>SUM(Master_Sales_Table[Profit])</f>
        <v>61598.649999999987</v>
      </c>
    </row>
    <row r="4" spans="1:8">
      <c r="A4" s="3" t="s">
        <v>333</v>
      </c>
      <c r="B4" s="8">
        <f>COUNTA(Master_Sales_Table[Transaction ID])</f>
        <v>36</v>
      </c>
      <c r="H4" s="10"/>
    </row>
    <row r="5" spans="1:8" ht="140.25">
      <c r="A5" s="3" t="s">
        <v>334</v>
      </c>
      <c r="B5" s="8" t="str">
        <f>INDEX(Master_Sales_Table[Sales Rep],MATCH(MAX(Master_Sales_Table[Revenue]),Master_Sales_Table[Revenue],0))</f>
        <v>Michael Brown</v>
      </c>
    </row>
    <row r="6" spans="1:8" ht="127.5">
      <c r="A6" s="3" t="s">
        <v>335</v>
      </c>
      <c r="B6" s="8" t="str">
        <f>INDEX(Master_Sales_Table[State],MATCH(MAX(Master_Sales_Table[Revenue]),Master_Sales_Table[Revenue],0))</f>
        <v>New York</v>
      </c>
    </row>
    <row r="7" spans="1:8" ht="140.25">
      <c r="A7" s="3" t="s">
        <v>336</v>
      </c>
      <c r="B7" s="8" t="str">
        <f>INDEX(Master_Sales_Table[Category],MATCH(MAX(Master_Sales_Table[Revenue]),Master_Sales_Table[Revenue],0))</f>
        <v>Smartphones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9D9FD-D292-44E5-97D7-25767D3967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Transaction</vt:lpstr>
      <vt:lpstr>Product Database</vt:lpstr>
      <vt:lpstr>Customer Database (2)</vt:lpstr>
      <vt:lpstr>Customer Database</vt:lpstr>
      <vt:lpstr>Master Sales Table</vt:lpstr>
      <vt:lpstr>Pivot View</vt:lpstr>
      <vt:lpstr>TechMartInput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Atanda</dc:creator>
  <cp:lastModifiedBy>Nurudeen Atanda</cp:lastModifiedBy>
  <dcterms:created xsi:type="dcterms:W3CDTF">2026-05-18T14:20:48Z</dcterms:created>
  <dcterms:modified xsi:type="dcterms:W3CDTF">2026-05-19T14:41:01Z</dcterms:modified>
</cp:coreProperties>
</file>